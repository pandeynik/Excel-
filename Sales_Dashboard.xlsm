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khil\Desktop\"/>
    </mc:Choice>
  </mc:AlternateContent>
  <bookViews>
    <workbookView xWindow="7968" yWindow="-12" windowWidth="10992" windowHeight="7800"/>
  </bookViews>
  <sheets>
    <sheet name="data1" sheetId="5" r:id="rId1"/>
    <sheet name="calculation1" sheetId="6" r:id="rId2"/>
    <sheet name="charts" sheetId="7" r:id="rId3"/>
  </sheets>
  <definedNames>
    <definedName name="Biscuits">data1!$I$5:$I$9</definedName>
    <definedName name="chtProductBreakup">IF(valProductPicked="",#REF!,#REF!)</definedName>
    <definedName name="lstProducts">#REF!</definedName>
    <definedName name="lstRegions">#REF!</definedName>
    <definedName name="lstYears">#REF!</definedName>
    <definedName name="plstProducts">#REF!</definedName>
    <definedName name="plstRegions">#REF!</definedName>
    <definedName name="plstYears">#REF!</definedName>
    <definedName name="product">data1!$I$4:$I$9</definedName>
    <definedName name="product_chart">charts!$G$21:$L$21</definedName>
    <definedName name="productPicked">calculation1!$D$4</definedName>
    <definedName name="ProductStatus">calculation1!$E$4</definedName>
    <definedName name="Re_chart">charts!$B$19:$B$20</definedName>
    <definedName name="Region">data1!$J$4:$J$5</definedName>
    <definedName name="Region_chart">charts!$B$18:$B$20</definedName>
    <definedName name="RegionPicked">calculation1!$D$5</definedName>
    <definedName name="Sales_in_South_by_Product___2007">charts!$J$4:$K$4</definedName>
    <definedName name="valHelpMessage">#REF!</definedName>
    <definedName name="valHelpStatus">#REF!</definedName>
    <definedName name="valProductPicked">#REF!</definedName>
    <definedName name="valProductStatus">#REF!</definedName>
    <definedName name="valRegionPicked">#REF!</definedName>
    <definedName name="valYearPicked">#REF!</definedName>
    <definedName name="Year">data1!$H$4:$H$14</definedName>
    <definedName name="yearPicked">calculation1!$D$3</definedName>
    <definedName name="yr_chart">charts!$B$6:$B$16</definedName>
  </definedNames>
  <calcPr calcId="152511"/>
</workbook>
</file>

<file path=xl/calcChain.xml><?xml version="1.0" encoding="utf-8"?>
<calcChain xmlns="http://schemas.openxmlformats.org/spreadsheetml/2006/main">
  <c r="B19" i="7" l="1"/>
  <c r="B20" i="7"/>
  <c r="H21" i="7"/>
  <c r="I21" i="7"/>
  <c r="J21" i="7"/>
  <c r="K21" i="7"/>
  <c r="L21" i="7"/>
  <c r="G17" i="6"/>
  <c r="H4" i="7" s="1"/>
  <c r="C5" i="6"/>
  <c r="C4" i="6"/>
  <c r="D22" i="6" s="1"/>
  <c r="C3" i="6"/>
  <c r="C12" i="6" s="1"/>
  <c r="G21" i="7"/>
  <c r="J8" i="6"/>
  <c r="B7" i="7"/>
  <c r="B8" i="7"/>
  <c r="B9" i="7"/>
  <c r="B10" i="7"/>
  <c r="B11" i="7"/>
  <c r="B12" i="7"/>
  <c r="B13" i="7"/>
  <c r="B14" i="7"/>
  <c r="B15" i="7"/>
  <c r="B16" i="7"/>
  <c r="B6" i="7"/>
  <c r="B19" i="6"/>
  <c r="B20" i="6"/>
  <c r="B21" i="6"/>
  <c r="B22" i="6"/>
  <c r="B23" i="6"/>
  <c r="B24" i="6"/>
  <c r="B25" i="6"/>
  <c r="B26" i="6"/>
  <c r="B27" i="6"/>
  <c r="B28" i="6"/>
  <c r="B18" i="6"/>
  <c r="B10" i="6"/>
  <c r="B11" i="6"/>
  <c r="B12" i="6"/>
  <c r="G12" i="6" s="1"/>
  <c r="B13" i="6"/>
  <c r="B14" i="6"/>
  <c r="B9" i="6"/>
  <c r="G14" i="6"/>
  <c r="G13" i="6"/>
  <c r="G11" i="6"/>
  <c r="G10" i="6"/>
  <c r="G9" i="6"/>
  <c r="I8" i="6"/>
  <c r="H8" i="6"/>
  <c r="G8" i="6"/>
  <c r="H12" i="6" l="1"/>
  <c r="K12" i="6"/>
  <c r="C18" i="6"/>
  <c r="C25" i="6"/>
  <c r="C21" i="6"/>
  <c r="D18" i="6"/>
  <c r="D25" i="6"/>
  <c r="D21" i="6"/>
  <c r="C28" i="6"/>
  <c r="C24" i="6"/>
  <c r="C20" i="6"/>
  <c r="D28" i="6"/>
  <c r="D24" i="6"/>
  <c r="D20" i="6"/>
  <c r="C27" i="6"/>
  <c r="C23" i="6"/>
  <c r="C19" i="6"/>
  <c r="D27" i="6"/>
  <c r="D23" i="6"/>
  <c r="D19" i="6"/>
  <c r="C26" i="6"/>
  <c r="C22" i="6"/>
  <c r="E22" i="6" s="1"/>
  <c r="D26" i="6"/>
  <c r="D9" i="6"/>
  <c r="I9" i="6" s="1"/>
  <c r="C11" i="6"/>
  <c r="H11" i="6" s="1"/>
  <c r="D11" i="6"/>
  <c r="I11" i="6" s="1"/>
  <c r="D14" i="6"/>
  <c r="I14" i="6" s="1"/>
  <c r="D10" i="6"/>
  <c r="I10" i="6" s="1"/>
  <c r="C14" i="6"/>
  <c r="H14" i="6" s="1"/>
  <c r="K14" i="6" s="1"/>
  <c r="C10" i="6"/>
  <c r="H10" i="6" s="1"/>
  <c r="D13" i="6"/>
  <c r="I13" i="6" s="1"/>
  <c r="C13" i="6"/>
  <c r="H13" i="6" s="1"/>
  <c r="C9" i="6"/>
  <c r="H9" i="6" s="1"/>
  <c r="D12" i="6"/>
  <c r="E12" i="6" s="1"/>
  <c r="J12" i="6" s="1"/>
  <c r="I12" i="6" l="1"/>
  <c r="E13" i="6"/>
  <c r="J13" i="6" s="1"/>
  <c r="K13" i="6" s="1"/>
  <c r="K11" i="6"/>
  <c r="E11" i="6"/>
  <c r="J11" i="6" s="1"/>
  <c r="E24" i="6"/>
  <c r="E26" i="6"/>
  <c r="E19" i="6"/>
  <c r="E28" i="6"/>
  <c r="E21" i="6"/>
  <c r="E23" i="6"/>
  <c r="E25" i="6"/>
  <c r="E27" i="6"/>
  <c r="E20" i="6"/>
  <c r="E18" i="6"/>
  <c r="E9" i="6"/>
  <c r="J9" i="6" s="1"/>
  <c r="K9" i="6" s="1"/>
  <c r="E14" i="6"/>
  <c r="J14" i="6" s="1"/>
  <c r="E10" i="6"/>
  <c r="J10" i="6" s="1"/>
  <c r="K10" i="6" s="1"/>
</calcChain>
</file>

<file path=xl/sharedStrings.xml><?xml version="1.0" encoding="utf-8"?>
<sst xmlns="http://schemas.openxmlformats.org/spreadsheetml/2006/main" count="300" uniqueCount="26">
  <si>
    <t>Year</t>
  </si>
  <si>
    <t>Product</t>
  </si>
  <si>
    <t>Region</t>
  </si>
  <si>
    <t>Sales ($)</t>
  </si>
  <si>
    <t>Years</t>
  </si>
  <si>
    <t>Products</t>
  </si>
  <si>
    <t>Regions</t>
  </si>
  <si>
    <t>Biscuits</t>
  </si>
  <si>
    <t>Chocolates</t>
  </si>
  <si>
    <t>Chocochips</t>
  </si>
  <si>
    <t>Cookies</t>
  </si>
  <si>
    <t>Nutri Bars</t>
  </si>
  <si>
    <t>Jelly Beans</t>
  </si>
  <si>
    <t>North</t>
  </si>
  <si>
    <t>South</t>
  </si>
  <si>
    <t>Calculations</t>
  </si>
  <si>
    <t>Selected Product</t>
  </si>
  <si>
    <t>Selected Region</t>
  </si>
  <si>
    <t>All</t>
  </si>
  <si>
    <t>Yearly Sales Break-up</t>
  </si>
  <si>
    <t>All Regions</t>
  </si>
  <si>
    <t>Highlighted</t>
  </si>
  <si>
    <t>Selected Year</t>
  </si>
  <si>
    <t>Product wise Sales</t>
  </si>
  <si>
    <t>Titles</t>
  </si>
  <si>
    <t>Pick a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</si>
</sst>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1"/>
      <name val="Cambria"/>
      <family val="1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left" indent="1"/>
    </xf>
    <xf numFmtId="0" fontId="2" fillId="2" borderId="1" xfId="0" applyFont="1" applyFill="1" applyBorder="1" applyAlignment="1">
      <alignment horizontal="left" indent="1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/>
    <xf numFmtId="164" fontId="0" fillId="0" borderId="2" xfId="1" applyNumberFormat="1" applyFont="1" applyBorder="1" applyAlignment="1">
      <alignment horizontal="center" vertical="center"/>
    </xf>
    <xf numFmtId="0" fontId="3" fillId="5" borderId="0" xfId="0" applyFont="1" applyFill="1"/>
    <xf numFmtId="0" fontId="3" fillId="0" borderId="0" xfId="0" applyFont="1"/>
    <xf numFmtId="0" fontId="4" fillId="5" borderId="0" xfId="0" applyFont="1" applyFill="1"/>
    <xf numFmtId="0" fontId="3" fillId="5" borderId="2" xfId="0" applyFont="1" applyFill="1" applyBorder="1" applyAlignment="1">
      <alignment horizontal="left" vertical="top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3" fillId="6" borderId="2" xfId="0" applyFont="1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/>
    </xf>
    <xf numFmtId="0" fontId="3" fillId="4" borderId="2" xfId="0" applyFont="1" applyFill="1" applyBorder="1" applyAlignment="1">
      <alignment horizontal="left" vertical="top"/>
    </xf>
  </cellXfs>
  <cellStyles count="2">
    <cellStyle name="Currency" xfId="1" builtinId="4"/>
    <cellStyle name="Normal" xfId="0" builtinId="0"/>
  </cellStyles>
  <dxfs count="5"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362024952360409"/>
          <c:y val="6.0024424030329544E-2"/>
          <c:w val="0.55377701075036856"/>
          <c:h val="0.83257618839311753"/>
        </c:manualLayout>
      </c:layout>
      <c:barChart>
        <c:barDir val="bar"/>
        <c:grouping val="clustered"/>
        <c:varyColors val="0"/>
        <c:ser>
          <c:idx val="1"/>
          <c:order val="1"/>
          <c:tx>
            <c:strRef>
              <c:f>calculation1!$C$17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calculation1!$C$18:$C$28</c:f>
              <c:numCache>
                <c:formatCode>General</c:formatCode>
                <c:ptCount val="11"/>
                <c:pt idx="0">
                  <c:v>930</c:v>
                </c:pt>
                <c:pt idx="1">
                  <c:v>980</c:v>
                </c:pt>
                <c:pt idx="2">
                  <c:v>920</c:v>
                </c:pt>
                <c:pt idx="3">
                  <c:v>1230</c:v>
                </c:pt>
                <c:pt idx="4">
                  <c:v>1060</c:v>
                </c:pt>
                <c:pt idx="5">
                  <c:v>950</c:v>
                </c:pt>
                <c:pt idx="6">
                  <c:v>870</c:v>
                </c:pt>
                <c:pt idx="7">
                  <c:v>950</c:v>
                </c:pt>
                <c:pt idx="8">
                  <c:v>950</c:v>
                </c:pt>
                <c:pt idx="9">
                  <c:v>1020</c:v>
                </c:pt>
                <c:pt idx="10">
                  <c:v>1080</c:v>
                </c:pt>
              </c:numCache>
            </c:numRef>
          </c:val>
        </c:ser>
        <c:ser>
          <c:idx val="2"/>
          <c:order val="2"/>
          <c:tx>
            <c:strRef>
              <c:f>calculation1!$D$17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calculation1!$D$18:$D$28</c:f>
              <c:numCache>
                <c:formatCode>General</c:formatCode>
                <c:ptCount val="11"/>
                <c:pt idx="0">
                  <c:v>1210</c:v>
                </c:pt>
                <c:pt idx="1">
                  <c:v>1280</c:v>
                </c:pt>
                <c:pt idx="2">
                  <c:v>1870</c:v>
                </c:pt>
                <c:pt idx="3">
                  <c:v>1550</c:v>
                </c:pt>
                <c:pt idx="4">
                  <c:v>1490</c:v>
                </c:pt>
                <c:pt idx="5">
                  <c:v>1320</c:v>
                </c:pt>
                <c:pt idx="6">
                  <c:v>1010</c:v>
                </c:pt>
                <c:pt idx="7">
                  <c:v>1260</c:v>
                </c:pt>
                <c:pt idx="8">
                  <c:v>1460</c:v>
                </c:pt>
                <c:pt idx="9">
                  <c:v>980</c:v>
                </c:pt>
                <c:pt idx="10">
                  <c:v>1760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0"/>
        <c:axId val="-952594192"/>
        <c:axId val="-9525936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calculation1!$B$17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calculation1!$B$18:$B$28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2001</c:v>
                      </c:pt>
                      <c:pt idx="1">
                        <c:v>2002</c:v>
                      </c:pt>
                      <c:pt idx="2">
                        <c:v>2003</c:v>
                      </c:pt>
                      <c:pt idx="3">
                        <c:v>2004</c:v>
                      </c:pt>
                      <c:pt idx="4">
                        <c:v>2005</c:v>
                      </c:pt>
                      <c:pt idx="5">
                        <c:v>2006</c:v>
                      </c:pt>
                      <c:pt idx="6">
                        <c:v>2007</c:v>
                      </c:pt>
                      <c:pt idx="7">
                        <c:v>2008</c:v>
                      </c:pt>
                      <c:pt idx="8">
                        <c:v>2009</c:v>
                      </c:pt>
                      <c:pt idx="9">
                        <c:v>2010</c:v>
                      </c:pt>
                      <c:pt idx="10">
                        <c:v>2011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9525941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952593648"/>
        <c:crosses val="autoZero"/>
        <c:auto val="1"/>
        <c:lblAlgn val="ctr"/>
        <c:lblOffset val="100"/>
        <c:noMultiLvlLbl val="0"/>
      </c:catAx>
      <c:valAx>
        <c:axId val="-95259364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-952594192"/>
        <c:crosses val="autoZero"/>
        <c:crossBetween val="between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906386701662297E-2"/>
          <c:y val="5.0925925925925923E-2"/>
          <c:w val="0.87753018372703417"/>
          <c:h val="0.923396023603641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calculation1!$H$8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calculation1!$B$9:$B$14</c:f>
              <c:strCache>
                <c:ptCount val="6"/>
                <c:pt idx="0">
                  <c:v>Biscuits</c:v>
                </c:pt>
                <c:pt idx="1">
                  <c:v>Chocolates</c:v>
                </c:pt>
                <c:pt idx="2">
                  <c:v>Chocochips</c:v>
                </c:pt>
                <c:pt idx="3">
                  <c:v>Cookies</c:v>
                </c:pt>
                <c:pt idx="4">
                  <c:v>Nutri Bars</c:v>
                </c:pt>
                <c:pt idx="5">
                  <c:v>Jelly Beans</c:v>
                </c:pt>
              </c:strCache>
            </c:strRef>
          </c:cat>
          <c:val>
            <c:numRef>
              <c:f>calculation1!$H$9:$H$14</c:f>
              <c:numCache>
                <c:formatCode>General</c:formatCode>
                <c:ptCount val="6"/>
                <c:pt idx="0">
                  <c:v>1050</c:v>
                </c:pt>
                <c:pt idx="1">
                  <c:v>1030</c:v>
                </c:pt>
                <c:pt idx="2">
                  <c:v>860</c:v>
                </c:pt>
                <c:pt idx="3">
                  <c:v>910</c:v>
                </c:pt>
                <c:pt idx="4">
                  <c:v>950</c:v>
                </c:pt>
                <c:pt idx="5">
                  <c:v>1060</c:v>
                </c:pt>
              </c:numCache>
            </c:numRef>
          </c:val>
        </c:ser>
        <c:ser>
          <c:idx val="1"/>
          <c:order val="1"/>
          <c:tx>
            <c:strRef>
              <c:f>calculation1!$I$8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calculation1!$B$9:$B$14</c:f>
              <c:strCache>
                <c:ptCount val="6"/>
                <c:pt idx="0">
                  <c:v>Biscuits</c:v>
                </c:pt>
                <c:pt idx="1">
                  <c:v>Chocolates</c:v>
                </c:pt>
                <c:pt idx="2">
                  <c:v>Chocochips</c:v>
                </c:pt>
                <c:pt idx="3">
                  <c:v>Cookies</c:v>
                </c:pt>
                <c:pt idx="4">
                  <c:v>Nutri Bars</c:v>
                </c:pt>
                <c:pt idx="5">
                  <c:v>Jelly Beans</c:v>
                </c:pt>
              </c:strCache>
            </c:strRef>
          </c:cat>
          <c:val>
            <c:numRef>
              <c:f>calculation1!$I$9:$I$14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ser>
          <c:idx val="2"/>
          <c:order val="2"/>
          <c:tx>
            <c:strRef>
              <c:f>calculation1!$J$8</c:f>
              <c:strCache>
                <c:ptCount val="1"/>
                <c:pt idx="0">
                  <c:v>All Regions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calculation1!$B$9:$B$14</c:f>
              <c:strCache>
                <c:ptCount val="6"/>
                <c:pt idx="0">
                  <c:v>Biscuits</c:v>
                </c:pt>
                <c:pt idx="1">
                  <c:v>Chocolates</c:v>
                </c:pt>
                <c:pt idx="2">
                  <c:v>Chocochips</c:v>
                </c:pt>
                <c:pt idx="3">
                  <c:v>Cookies</c:v>
                </c:pt>
                <c:pt idx="4">
                  <c:v>Nutri Bars</c:v>
                </c:pt>
                <c:pt idx="5">
                  <c:v>Jelly Beans</c:v>
                </c:pt>
              </c:strCache>
            </c:strRef>
          </c:cat>
          <c:val>
            <c:numRef>
              <c:f>calculation1!$J$9:$J$14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ser>
          <c:idx val="3"/>
          <c:order val="3"/>
          <c:tx>
            <c:strRef>
              <c:f>calculation1!$K$8</c:f>
              <c:strCache>
                <c:ptCount val="1"/>
                <c:pt idx="0">
                  <c:v>Highlighted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calculation1!$B$9:$B$14</c:f>
              <c:strCache>
                <c:ptCount val="6"/>
                <c:pt idx="0">
                  <c:v>Biscuits</c:v>
                </c:pt>
                <c:pt idx="1">
                  <c:v>Chocolates</c:v>
                </c:pt>
                <c:pt idx="2">
                  <c:v>Chocochips</c:v>
                </c:pt>
                <c:pt idx="3">
                  <c:v>Cookies</c:v>
                </c:pt>
                <c:pt idx="4">
                  <c:v>Nutri Bars</c:v>
                </c:pt>
                <c:pt idx="5">
                  <c:v>Jelly Beans</c:v>
                </c:pt>
              </c:strCache>
            </c:strRef>
          </c:cat>
          <c:val>
            <c:numRef>
              <c:f>calculation1!$K$9:$K$14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950</c:v>
                </c:pt>
                <c:pt idx="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overlap val="100"/>
        <c:axId val="-952615952"/>
        <c:axId val="-952614320"/>
      </c:barChart>
      <c:catAx>
        <c:axId val="-95261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52614320"/>
        <c:crosses val="autoZero"/>
        <c:auto val="1"/>
        <c:lblAlgn val="ctr"/>
        <c:lblOffset val="100"/>
        <c:noMultiLvlLbl val="0"/>
      </c:catAx>
      <c:valAx>
        <c:axId val="-952614320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5261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9117972095593312"/>
          <c:y val="1.0618783353187862E-2"/>
          <c:w val="0.54236148563621334"/>
          <c:h val="0.94654691601049867"/>
        </c:manualLayout>
      </c:layout>
      <c:barChart>
        <c:barDir val="bar"/>
        <c:grouping val="clustered"/>
        <c:varyColors val="0"/>
        <c:ser>
          <c:idx val="1"/>
          <c:order val="1"/>
          <c:tx>
            <c:strRef>
              <c:f>calculation1!$C$17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calculation1!$C$18:$C$28</c:f>
              <c:numCache>
                <c:formatCode>General</c:formatCode>
                <c:ptCount val="11"/>
                <c:pt idx="0">
                  <c:v>930</c:v>
                </c:pt>
                <c:pt idx="1">
                  <c:v>980</c:v>
                </c:pt>
                <c:pt idx="2">
                  <c:v>920</c:v>
                </c:pt>
                <c:pt idx="3">
                  <c:v>1230</c:v>
                </c:pt>
                <c:pt idx="4">
                  <c:v>1060</c:v>
                </c:pt>
                <c:pt idx="5">
                  <c:v>950</c:v>
                </c:pt>
                <c:pt idx="6">
                  <c:v>870</c:v>
                </c:pt>
                <c:pt idx="7">
                  <c:v>950</c:v>
                </c:pt>
                <c:pt idx="8">
                  <c:v>950</c:v>
                </c:pt>
                <c:pt idx="9">
                  <c:v>1020</c:v>
                </c:pt>
                <c:pt idx="10">
                  <c:v>1080</c:v>
                </c:pt>
              </c:numCache>
            </c:numRef>
          </c:val>
        </c:ser>
        <c:ser>
          <c:idx val="2"/>
          <c:order val="2"/>
          <c:tx>
            <c:strRef>
              <c:f>calculation1!$D$17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calculation1!$D$18:$D$28</c:f>
              <c:numCache>
                <c:formatCode>General</c:formatCode>
                <c:ptCount val="11"/>
                <c:pt idx="0">
                  <c:v>1210</c:v>
                </c:pt>
                <c:pt idx="1">
                  <c:v>1280</c:v>
                </c:pt>
                <c:pt idx="2">
                  <c:v>1870</c:v>
                </c:pt>
                <c:pt idx="3">
                  <c:v>1550</c:v>
                </c:pt>
                <c:pt idx="4">
                  <c:v>1490</c:v>
                </c:pt>
                <c:pt idx="5">
                  <c:v>1320</c:v>
                </c:pt>
                <c:pt idx="6">
                  <c:v>1010</c:v>
                </c:pt>
                <c:pt idx="7">
                  <c:v>1260</c:v>
                </c:pt>
                <c:pt idx="8">
                  <c:v>1460</c:v>
                </c:pt>
                <c:pt idx="9">
                  <c:v>980</c:v>
                </c:pt>
                <c:pt idx="10">
                  <c:v>1760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0"/>
        <c:axId val="-793539792"/>
        <c:axId val="-7935484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calculation1!$B$17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calculation1!$B$18:$B$28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2001</c:v>
                      </c:pt>
                      <c:pt idx="1">
                        <c:v>2002</c:v>
                      </c:pt>
                      <c:pt idx="2">
                        <c:v>2003</c:v>
                      </c:pt>
                      <c:pt idx="3">
                        <c:v>2004</c:v>
                      </c:pt>
                      <c:pt idx="4">
                        <c:v>2005</c:v>
                      </c:pt>
                      <c:pt idx="5">
                        <c:v>2006</c:v>
                      </c:pt>
                      <c:pt idx="6">
                        <c:v>2007</c:v>
                      </c:pt>
                      <c:pt idx="7">
                        <c:v>2008</c:v>
                      </c:pt>
                      <c:pt idx="8">
                        <c:v>2009</c:v>
                      </c:pt>
                      <c:pt idx="9">
                        <c:v>2010</c:v>
                      </c:pt>
                      <c:pt idx="10">
                        <c:v>2011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-7935397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793548496"/>
        <c:crosses val="autoZero"/>
        <c:auto val="1"/>
        <c:lblAlgn val="ctr"/>
        <c:lblOffset val="100"/>
        <c:noMultiLvlLbl val="0"/>
      </c:catAx>
      <c:valAx>
        <c:axId val="-7935484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-79353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594360</xdr:colOff>
      <xdr:row>28</xdr:row>
      <xdr:rowOff>87630</xdr:rowOff>
    </xdr:from>
    <xdr:to>
      <xdr:col>1</xdr:col>
      <xdr:colOff>1097280</xdr:colOff>
      <xdr:row>43</xdr:row>
      <xdr:rowOff>87630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205740</xdr:colOff>
      <xdr:row>4</xdr:row>
      <xdr:rowOff>163830</xdr:rowOff>
    </xdr:from>
    <xdr:to>
      <xdr:col>12</xdr:col>
      <xdr:colOff>175260</xdr:colOff>
      <xdr:row>19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472440</xdr:colOff>
      <xdr:row>2</xdr:row>
      <xdr:rowOff>0</xdr:rowOff>
    </xdr:from>
    <xdr:to>
      <xdr:col>7</xdr:col>
      <xdr:colOff>60960</xdr:colOff>
      <xdr:row>24</xdr:row>
      <xdr:rowOff>109360</xdr:rowOff>
    </xdr:to>
    <xdr:grpSp>
      <xdr:nvGrpSpPr>
        <xdr:cNvPr id="7" name="grpHelp"/>
        <xdr:cNvGrpSpPr/>
      </xdr:nvGrpSpPr>
      <xdr:grpSpPr>
        <a:xfrm>
          <a:off x="655320" y="350520"/>
          <a:ext cx="2529840" cy="3965080"/>
          <a:chOff x="1398178" y="876300"/>
          <a:chExt cx="2537385" cy="4291764"/>
        </a:xfrm>
      </xdr:grpSpPr>
      <xdr:sp macro="" textlink="">
        <xdr:nvSpPr>
          <xdr:cNvPr id="8" name="Rectangular Callout 7"/>
          <xdr:cNvSpPr/>
        </xdr:nvSpPr>
        <xdr:spPr>
          <a:xfrm>
            <a:off x="1398178" y="2143125"/>
            <a:ext cx="676275" cy="481711"/>
          </a:xfrm>
          <a:prstGeom prst="wedgeRectCallout">
            <a:avLst>
              <a:gd name="adj1" fmla="val -64174"/>
              <a:gd name="adj2" fmla="val -21428"/>
            </a:avLst>
          </a:prstGeom>
          <a:solidFill>
            <a:schemeClr val="bg2"/>
          </a:solidFill>
          <a:ln w="3175">
            <a:solidFill>
              <a:schemeClr val="bg2">
                <a:lumMod val="75000"/>
              </a:schemeClr>
            </a:solidFill>
          </a:ln>
          <a:effectLst>
            <a:outerShdw blurRad="63500" sx="101000" sy="101000" algn="ctr" rotWithShape="0">
              <a:schemeClr val="bg2">
                <a:lumMod val="25000"/>
                <a:alpha val="40000"/>
              </a:scheme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>
                <a:solidFill>
                  <a:schemeClr val="bg2">
                    <a:lumMod val="10000"/>
                  </a:schemeClr>
                </a:solidFill>
              </a:rPr>
              <a:t>select an</a:t>
            </a:r>
            <a:r>
              <a:rPr lang="en-US" sz="900" baseline="0">
                <a:solidFill>
                  <a:schemeClr val="bg2">
                    <a:lumMod val="10000"/>
                  </a:schemeClr>
                </a:solidFill>
              </a:rPr>
              <a:t> year</a:t>
            </a:r>
            <a:endParaRPr lang="en-US" sz="900">
              <a:solidFill>
                <a:schemeClr val="bg2">
                  <a:lumMod val="10000"/>
                </a:schemeClr>
              </a:solidFill>
            </a:endParaRPr>
          </a:p>
        </xdr:txBody>
      </xdr:sp>
      <xdr:sp macro="" textlink="">
        <xdr:nvSpPr>
          <xdr:cNvPr id="9" name="Rectangular Callout 8"/>
          <xdr:cNvSpPr/>
        </xdr:nvSpPr>
        <xdr:spPr>
          <a:xfrm>
            <a:off x="1809904" y="3722998"/>
            <a:ext cx="762000" cy="533400"/>
          </a:xfrm>
          <a:prstGeom prst="wedgeRectCallout">
            <a:avLst>
              <a:gd name="adj1" fmla="val -60270"/>
              <a:gd name="adj2" fmla="val -23214"/>
            </a:avLst>
          </a:prstGeom>
          <a:solidFill>
            <a:schemeClr val="bg2"/>
          </a:solidFill>
          <a:ln w="3175">
            <a:solidFill>
              <a:schemeClr val="bg2">
                <a:lumMod val="75000"/>
              </a:schemeClr>
            </a:solidFill>
          </a:ln>
          <a:effectLst>
            <a:outerShdw blurRad="63500" sx="101000" sy="101000" algn="ctr" rotWithShape="0">
              <a:schemeClr val="bg2">
                <a:lumMod val="25000"/>
                <a:alpha val="40000"/>
              </a:scheme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900">
                <a:solidFill>
                  <a:schemeClr val="bg2">
                    <a:lumMod val="10000"/>
                  </a:schemeClr>
                </a:solidFill>
                <a:latin typeface="+mn-lt"/>
                <a:ea typeface="+mn-ea"/>
                <a:cs typeface="+mn-cs"/>
              </a:rPr>
              <a:t>select a region</a:t>
            </a:r>
          </a:p>
        </xdr:txBody>
      </xdr:sp>
      <xdr:sp macro="" textlink="">
        <xdr:nvSpPr>
          <xdr:cNvPr id="10" name="Rectangular Callout 9"/>
          <xdr:cNvSpPr/>
        </xdr:nvSpPr>
        <xdr:spPr>
          <a:xfrm>
            <a:off x="3173563" y="4634664"/>
            <a:ext cx="762000" cy="533400"/>
          </a:xfrm>
          <a:prstGeom prst="wedgeRectCallout">
            <a:avLst>
              <a:gd name="adj1" fmla="val 2085"/>
              <a:gd name="adj2" fmla="val -87488"/>
            </a:avLst>
          </a:prstGeom>
          <a:solidFill>
            <a:schemeClr val="bg2"/>
          </a:solidFill>
          <a:ln w="3175">
            <a:solidFill>
              <a:schemeClr val="bg2">
                <a:lumMod val="75000"/>
              </a:schemeClr>
            </a:solidFill>
          </a:ln>
          <a:effectLst>
            <a:outerShdw blurRad="63500" sx="101000" sy="101000" algn="ctr" rotWithShape="0">
              <a:schemeClr val="bg2">
                <a:lumMod val="25000"/>
                <a:alpha val="40000"/>
              </a:scheme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900">
                <a:solidFill>
                  <a:schemeClr val="bg2">
                    <a:lumMod val="10000"/>
                  </a:schemeClr>
                </a:solidFill>
                <a:latin typeface="+mn-lt"/>
                <a:ea typeface="+mn-ea"/>
                <a:cs typeface="+mn-cs"/>
              </a:rPr>
              <a:t>select a product</a:t>
            </a:r>
          </a:p>
        </xdr:txBody>
      </xdr:sp>
      <xdr:sp macro="" textlink="">
        <xdr:nvSpPr>
          <xdr:cNvPr id="11" name="Rectangular Callout 10"/>
          <xdr:cNvSpPr/>
        </xdr:nvSpPr>
        <xdr:spPr>
          <a:xfrm>
            <a:off x="1847850" y="876300"/>
            <a:ext cx="895350" cy="514350"/>
          </a:xfrm>
          <a:prstGeom prst="wedgeRectCallout">
            <a:avLst>
              <a:gd name="adj1" fmla="val -17893"/>
              <a:gd name="adj2" fmla="val 64286"/>
            </a:avLst>
          </a:prstGeom>
          <a:solidFill>
            <a:schemeClr val="bg2"/>
          </a:solidFill>
          <a:ln w="3175">
            <a:solidFill>
              <a:schemeClr val="bg2">
                <a:lumMod val="75000"/>
              </a:schemeClr>
            </a:solidFill>
          </a:ln>
          <a:effectLst>
            <a:outerShdw blurRad="63500" sx="101000" sy="101000" algn="ctr" rotWithShape="0">
              <a:schemeClr val="bg2">
                <a:lumMod val="25000"/>
                <a:alpha val="40000"/>
              </a:scheme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>
                <a:solidFill>
                  <a:schemeClr val="bg2">
                    <a:lumMod val="10000"/>
                  </a:schemeClr>
                </a:solidFill>
              </a:rPr>
              <a:t>Region-wise</a:t>
            </a:r>
            <a:r>
              <a:rPr lang="en-US" sz="900" baseline="0">
                <a:solidFill>
                  <a:schemeClr val="bg2">
                    <a:lumMod val="10000"/>
                  </a:schemeClr>
                </a:solidFill>
              </a:rPr>
              <a:t> breakup of Product Sales</a:t>
            </a:r>
            <a:endParaRPr lang="en-US" sz="900">
              <a:solidFill>
                <a:schemeClr val="bg2">
                  <a:lumMod val="1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807720</xdr:colOff>
      <xdr:row>4</xdr:row>
      <xdr:rowOff>121920</xdr:rowOff>
    </xdr:from>
    <xdr:to>
      <xdr:col>2</xdr:col>
      <xdr:colOff>53340</xdr:colOff>
      <xdr:row>16</xdr:row>
      <xdr:rowOff>83820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blSales3" displayName="tblSales3" ref="B3:E135" totalsRowShown="0">
  <autoFilter ref="B3:E135"/>
  <tableColumns count="4">
    <tableColumn id="1" name="Year" dataDxfId="4"/>
    <tableColumn id="2" name="Product"/>
    <tableColumn id="3" name="Region"/>
    <tableColumn id="4" name="Sales ($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J135"/>
  <sheetViews>
    <sheetView showGridLines="0" tabSelected="1" workbookViewId="0">
      <selection activeCell="K23" sqref="K23"/>
    </sheetView>
  </sheetViews>
  <sheetFormatPr defaultRowHeight="14.4" x14ac:dyDescent="0.3"/>
  <cols>
    <col min="2" max="2" width="9.109375" bestFit="1" customWidth="1"/>
    <col min="3" max="3" width="10.33203125" bestFit="1" customWidth="1"/>
    <col min="4" max="4" width="9" bestFit="1" customWidth="1"/>
    <col min="5" max="5" width="10.21875" bestFit="1" customWidth="1"/>
    <col min="8" max="8" width="6.77734375" customWidth="1"/>
    <col min="9" max="9" width="11.6640625" bestFit="1" customWidth="1"/>
  </cols>
  <sheetData>
    <row r="3" spans="2:10" x14ac:dyDescent="0.3">
      <c r="B3" s="1" t="s">
        <v>0</v>
      </c>
      <c r="C3" t="s">
        <v>1</v>
      </c>
      <c r="D3" t="s">
        <v>2</v>
      </c>
      <c r="E3" t="s">
        <v>3</v>
      </c>
      <c r="H3" s="3" t="s">
        <v>4</v>
      </c>
      <c r="I3" s="3" t="s">
        <v>5</v>
      </c>
      <c r="J3" s="3" t="s">
        <v>6</v>
      </c>
    </row>
    <row r="4" spans="2:10" x14ac:dyDescent="0.3">
      <c r="B4" s="1">
        <v>2001</v>
      </c>
      <c r="C4" t="s">
        <v>7</v>
      </c>
      <c r="D4" t="s">
        <v>13</v>
      </c>
      <c r="E4">
        <v>1140</v>
      </c>
      <c r="H4" s="2">
        <v>2001</v>
      </c>
      <c r="I4" s="2" t="s">
        <v>7</v>
      </c>
      <c r="J4" s="2" t="s">
        <v>13</v>
      </c>
    </row>
    <row r="5" spans="2:10" x14ac:dyDescent="0.3">
      <c r="B5" s="1">
        <v>2001</v>
      </c>
      <c r="C5" t="s">
        <v>7</v>
      </c>
      <c r="D5" t="s">
        <v>14</v>
      </c>
      <c r="E5">
        <v>1800</v>
      </c>
      <c r="H5" s="2">
        <v>2002</v>
      </c>
      <c r="I5" s="2" t="s">
        <v>8</v>
      </c>
      <c r="J5" s="2" t="s">
        <v>14</v>
      </c>
    </row>
    <row r="6" spans="2:10" x14ac:dyDescent="0.3">
      <c r="B6" s="1">
        <v>2001</v>
      </c>
      <c r="C6" t="s">
        <v>8</v>
      </c>
      <c r="D6" t="s">
        <v>13</v>
      </c>
      <c r="E6">
        <v>950</v>
      </c>
      <c r="H6" s="2">
        <v>2003</v>
      </c>
      <c r="I6" s="2" t="s">
        <v>9</v>
      </c>
      <c r="J6" s="1"/>
    </row>
    <row r="7" spans="2:10" x14ac:dyDescent="0.3">
      <c r="B7" s="1">
        <v>2001</v>
      </c>
      <c r="C7" t="s">
        <v>8</v>
      </c>
      <c r="D7" t="s">
        <v>14</v>
      </c>
      <c r="E7">
        <v>1570</v>
      </c>
      <c r="H7" s="2">
        <v>2004</v>
      </c>
      <c r="I7" s="2" t="s">
        <v>10</v>
      </c>
      <c r="J7" s="1"/>
    </row>
    <row r="8" spans="2:10" x14ac:dyDescent="0.3">
      <c r="B8" s="1">
        <v>2001</v>
      </c>
      <c r="C8" t="s">
        <v>9</v>
      </c>
      <c r="D8" t="s">
        <v>13</v>
      </c>
      <c r="E8">
        <v>1120</v>
      </c>
      <c r="H8" s="2">
        <v>2005</v>
      </c>
      <c r="I8" s="2" t="s">
        <v>11</v>
      </c>
      <c r="J8" s="1"/>
    </row>
    <row r="9" spans="2:10" x14ac:dyDescent="0.3">
      <c r="B9" s="1">
        <v>2001</v>
      </c>
      <c r="C9" t="s">
        <v>9</v>
      </c>
      <c r="D9" t="s">
        <v>14</v>
      </c>
      <c r="E9">
        <v>1510</v>
      </c>
      <c r="H9" s="2">
        <v>2006</v>
      </c>
      <c r="I9" s="2" t="s">
        <v>12</v>
      </c>
    </row>
    <row r="10" spans="2:10" x14ac:dyDescent="0.3">
      <c r="B10" s="1">
        <v>2001</v>
      </c>
      <c r="C10" t="s">
        <v>10</v>
      </c>
      <c r="D10" t="s">
        <v>13</v>
      </c>
      <c r="E10">
        <v>1040</v>
      </c>
      <c r="H10" s="2">
        <v>2007</v>
      </c>
      <c r="I10" s="1"/>
    </row>
    <row r="11" spans="2:10" x14ac:dyDescent="0.3">
      <c r="B11" s="1">
        <v>2001</v>
      </c>
      <c r="C11" t="s">
        <v>10</v>
      </c>
      <c r="D11" t="s">
        <v>14</v>
      </c>
      <c r="E11">
        <v>1350</v>
      </c>
      <c r="H11" s="2">
        <v>2008</v>
      </c>
      <c r="I11" s="1"/>
      <c r="J11" s="1"/>
    </row>
    <row r="12" spans="2:10" x14ac:dyDescent="0.3">
      <c r="B12" s="1">
        <v>2001</v>
      </c>
      <c r="C12" t="s">
        <v>11</v>
      </c>
      <c r="D12" t="s">
        <v>13</v>
      </c>
      <c r="E12">
        <v>930</v>
      </c>
      <c r="H12" s="2">
        <v>2009</v>
      </c>
      <c r="I12" s="1"/>
      <c r="J12" s="1"/>
    </row>
    <row r="13" spans="2:10" x14ac:dyDescent="0.3">
      <c r="B13" s="1">
        <v>2001</v>
      </c>
      <c r="C13" t="s">
        <v>11</v>
      </c>
      <c r="D13" t="s">
        <v>14</v>
      </c>
      <c r="E13">
        <v>1210</v>
      </c>
      <c r="H13" s="2">
        <v>2010</v>
      </c>
      <c r="I13" s="1"/>
      <c r="J13" s="1"/>
    </row>
    <row r="14" spans="2:10" x14ac:dyDescent="0.3">
      <c r="B14" s="1">
        <v>2001</v>
      </c>
      <c r="C14" t="s">
        <v>12</v>
      </c>
      <c r="D14" t="s">
        <v>13</v>
      </c>
      <c r="E14">
        <v>920</v>
      </c>
      <c r="H14" s="2">
        <v>2011</v>
      </c>
      <c r="I14" s="1"/>
      <c r="J14" s="1"/>
    </row>
    <row r="15" spans="2:10" x14ac:dyDescent="0.3">
      <c r="B15" s="1">
        <v>2001</v>
      </c>
      <c r="C15" t="s">
        <v>12</v>
      </c>
      <c r="D15" t="s">
        <v>14</v>
      </c>
      <c r="E15">
        <v>1320</v>
      </c>
    </row>
    <row r="16" spans="2:10" x14ac:dyDescent="0.3">
      <c r="B16" s="1">
        <v>2002</v>
      </c>
      <c r="C16" t="s">
        <v>7</v>
      </c>
      <c r="D16" t="s">
        <v>13</v>
      </c>
      <c r="E16">
        <v>1210</v>
      </c>
    </row>
    <row r="17" spans="2:5" x14ac:dyDescent="0.3">
      <c r="B17" s="1">
        <v>2002</v>
      </c>
      <c r="C17" t="s">
        <v>7</v>
      </c>
      <c r="D17" t="s">
        <v>14</v>
      </c>
      <c r="E17">
        <v>1370</v>
      </c>
    </row>
    <row r="18" spans="2:5" x14ac:dyDescent="0.3">
      <c r="B18" s="1">
        <v>2002</v>
      </c>
      <c r="C18" t="s">
        <v>8</v>
      </c>
      <c r="D18" t="s">
        <v>13</v>
      </c>
      <c r="E18">
        <v>1110</v>
      </c>
    </row>
    <row r="19" spans="2:5" x14ac:dyDescent="0.3">
      <c r="B19" s="1">
        <v>2002</v>
      </c>
      <c r="C19" t="s">
        <v>8</v>
      </c>
      <c r="D19" t="s">
        <v>14</v>
      </c>
      <c r="E19">
        <v>1370</v>
      </c>
    </row>
    <row r="20" spans="2:5" x14ac:dyDescent="0.3">
      <c r="B20" s="1">
        <v>2002</v>
      </c>
      <c r="C20" t="s">
        <v>9</v>
      </c>
      <c r="D20" t="s">
        <v>13</v>
      </c>
      <c r="E20">
        <v>990</v>
      </c>
    </row>
    <row r="21" spans="2:5" x14ac:dyDescent="0.3">
      <c r="B21" s="1">
        <v>2002</v>
      </c>
      <c r="C21" t="s">
        <v>9</v>
      </c>
      <c r="D21" t="s">
        <v>14</v>
      </c>
      <c r="E21">
        <v>1480</v>
      </c>
    </row>
    <row r="22" spans="2:5" x14ac:dyDescent="0.3">
      <c r="B22" s="1">
        <v>2002</v>
      </c>
      <c r="C22" t="s">
        <v>10</v>
      </c>
      <c r="D22" t="s">
        <v>13</v>
      </c>
      <c r="E22">
        <v>1160</v>
      </c>
    </row>
    <row r="23" spans="2:5" x14ac:dyDescent="0.3">
      <c r="B23" s="1">
        <v>2002</v>
      </c>
      <c r="C23" t="s">
        <v>10</v>
      </c>
      <c r="D23" t="s">
        <v>14</v>
      </c>
      <c r="E23">
        <v>1350</v>
      </c>
    </row>
    <row r="24" spans="2:5" x14ac:dyDescent="0.3">
      <c r="B24" s="1">
        <v>2002</v>
      </c>
      <c r="C24" t="s">
        <v>11</v>
      </c>
      <c r="D24" t="s">
        <v>13</v>
      </c>
      <c r="E24">
        <v>980</v>
      </c>
    </row>
    <row r="25" spans="2:5" x14ac:dyDescent="0.3">
      <c r="B25" s="1">
        <v>2002</v>
      </c>
      <c r="C25" t="s">
        <v>11</v>
      </c>
      <c r="D25" t="s">
        <v>14</v>
      </c>
      <c r="E25">
        <v>1280</v>
      </c>
    </row>
    <row r="26" spans="2:5" x14ac:dyDescent="0.3">
      <c r="B26" s="1">
        <v>2002</v>
      </c>
      <c r="C26" t="s">
        <v>12</v>
      </c>
      <c r="D26" t="s">
        <v>13</v>
      </c>
      <c r="E26">
        <v>1110</v>
      </c>
    </row>
    <row r="27" spans="2:5" x14ac:dyDescent="0.3">
      <c r="B27" s="1">
        <v>2002</v>
      </c>
      <c r="C27" t="s">
        <v>12</v>
      </c>
      <c r="D27" t="s">
        <v>14</v>
      </c>
      <c r="E27">
        <v>1740</v>
      </c>
    </row>
    <row r="28" spans="2:5" x14ac:dyDescent="0.3">
      <c r="B28" s="1">
        <v>2003</v>
      </c>
      <c r="C28" t="s">
        <v>7</v>
      </c>
      <c r="D28" t="s">
        <v>13</v>
      </c>
      <c r="E28">
        <v>880</v>
      </c>
    </row>
    <row r="29" spans="2:5" x14ac:dyDescent="0.3">
      <c r="B29" s="1">
        <v>2003</v>
      </c>
      <c r="C29" t="s">
        <v>7</v>
      </c>
      <c r="D29" t="s">
        <v>14</v>
      </c>
      <c r="E29">
        <v>1350</v>
      </c>
    </row>
    <row r="30" spans="2:5" x14ac:dyDescent="0.3">
      <c r="B30" s="1">
        <v>2003</v>
      </c>
      <c r="C30" t="s">
        <v>8</v>
      </c>
      <c r="D30" t="s">
        <v>13</v>
      </c>
      <c r="E30">
        <v>990</v>
      </c>
    </row>
    <row r="31" spans="2:5" x14ac:dyDescent="0.3">
      <c r="B31" s="1">
        <v>2003</v>
      </c>
      <c r="C31" t="s">
        <v>8</v>
      </c>
      <c r="D31" t="s">
        <v>14</v>
      </c>
      <c r="E31">
        <v>1110</v>
      </c>
    </row>
    <row r="32" spans="2:5" x14ac:dyDescent="0.3">
      <c r="B32" s="1">
        <v>2003</v>
      </c>
      <c r="C32" t="s">
        <v>9</v>
      </c>
      <c r="D32" t="s">
        <v>13</v>
      </c>
      <c r="E32">
        <v>1140</v>
      </c>
    </row>
    <row r="33" spans="2:5" x14ac:dyDescent="0.3">
      <c r="B33" s="1">
        <v>2003</v>
      </c>
      <c r="C33" t="s">
        <v>9</v>
      </c>
      <c r="D33" t="s">
        <v>14</v>
      </c>
      <c r="E33">
        <v>820</v>
      </c>
    </row>
    <row r="34" spans="2:5" x14ac:dyDescent="0.3">
      <c r="B34" s="1">
        <v>2003</v>
      </c>
      <c r="C34" t="s">
        <v>10</v>
      </c>
      <c r="D34" t="s">
        <v>13</v>
      </c>
      <c r="E34">
        <v>970</v>
      </c>
    </row>
    <row r="35" spans="2:5" x14ac:dyDescent="0.3">
      <c r="B35" s="1">
        <v>2003</v>
      </c>
      <c r="C35" t="s">
        <v>10</v>
      </c>
      <c r="D35" t="s">
        <v>14</v>
      </c>
      <c r="E35">
        <v>1600</v>
      </c>
    </row>
    <row r="36" spans="2:5" x14ac:dyDescent="0.3">
      <c r="B36" s="1">
        <v>2003</v>
      </c>
      <c r="C36" t="s">
        <v>11</v>
      </c>
      <c r="D36" t="s">
        <v>13</v>
      </c>
      <c r="E36">
        <v>920</v>
      </c>
    </row>
    <row r="37" spans="2:5" x14ac:dyDescent="0.3">
      <c r="B37" s="1">
        <v>2003</v>
      </c>
      <c r="C37" t="s">
        <v>11</v>
      </c>
      <c r="D37" t="s">
        <v>14</v>
      </c>
      <c r="E37">
        <v>1870</v>
      </c>
    </row>
    <row r="38" spans="2:5" x14ac:dyDescent="0.3">
      <c r="B38" s="1">
        <v>2003</v>
      </c>
      <c r="C38" t="s">
        <v>12</v>
      </c>
      <c r="D38" t="s">
        <v>13</v>
      </c>
      <c r="E38">
        <v>1080</v>
      </c>
    </row>
    <row r="39" spans="2:5" x14ac:dyDescent="0.3">
      <c r="B39" s="1">
        <v>2003</v>
      </c>
      <c r="C39" t="s">
        <v>12</v>
      </c>
      <c r="D39" t="s">
        <v>14</v>
      </c>
      <c r="E39">
        <v>1430</v>
      </c>
    </row>
    <row r="40" spans="2:5" x14ac:dyDescent="0.3">
      <c r="B40" s="1">
        <v>2004</v>
      </c>
      <c r="C40" t="s">
        <v>7</v>
      </c>
      <c r="D40" t="s">
        <v>13</v>
      </c>
      <c r="E40">
        <v>860</v>
      </c>
    </row>
    <row r="41" spans="2:5" x14ac:dyDescent="0.3">
      <c r="B41" s="1">
        <v>2004</v>
      </c>
      <c r="C41" t="s">
        <v>7</v>
      </c>
      <c r="D41" t="s">
        <v>14</v>
      </c>
      <c r="E41">
        <v>1470</v>
      </c>
    </row>
    <row r="42" spans="2:5" x14ac:dyDescent="0.3">
      <c r="B42" s="1">
        <v>2004</v>
      </c>
      <c r="C42" t="s">
        <v>8</v>
      </c>
      <c r="D42" t="s">
        <v>13</v>
      </c>
      <c r="E42">
        <v>1080</v>
      </c>
    </row>
    <row r="43" spans="2:5" x14ac:dyDescent="0.3">
      <c r="B43" s="1">
        <v>2004</v>
      </c>
      <c r="C43" t="s">
        <v>8</v>
      </c>
      <c r="D43" t="s">
        <v>14</v>
      </c>
      <c r="E43">
        <v>1950</v>
      </c>
    </row>
    <row r="44" spans="2:5" x14ac:dyDescent="0.3">
      <c r="B44" s="1">
        <v>2004</v>
      </c>
      <c r="C44" t="s">
        <v>9</v>
      </c>
      <c r="D44" t="s">
        <v>13</v>
      </c>
      <c r="E44">
        <v>1050</v>
      </c>
    </row>
    <row r="45" spans="2:5" x14ac:dyDescent="0.3">
      <c r="B45" s="1">
        <v>2004</v>
      </c>
      <c r="C45" t="s">
        <v>9</v>
      </c>
      <c r="D45" t="s">
        <v>14</v>
      </c>
      <c r="E45">
        <v>1940</v>
      </c>
    </row>
    <row r="46" spans="2:5" x14ac:dyDescent="0.3">
      <c r="B46" s="1">
        <v>2004</v>
      </c>
      <c r="C46" t="s">
        <v>10</v>
      </c>
      <c r="D46" t="s">
        <v>13</v>
      </c>
      <c r="E46">
        <v>890</v>
      </c>
    </row>
    <row r="47" spans="2:5" x14ac:dyDescent="0.3">
      <c r="B47" s="1">
        <v>2004</v>
      </c>
      <c r="C47" t="s">
        <v>10</v>
      </c>
      <c r="D47" t="s">
        <v>14</v>
      </c>
      <c r="E47">
        <v>1840</v>
      </c>
    </row>
    <row r="48" spans="2:5" x14ac:dyDescent="0.3">
      <c r="B48" s="1">
        <v>2004</v>
      </c>
      <c r="C48" t="s">
        <v>11</v>
      </c>
      <c r="D48" t="s">
        <v>13</v>
      </c>
      <c r="E48">
        <v>1230</v>
      </c>
    </row>
    <row r="49" spans="2:5" x14ac:dyDescent="0.3">
      <c r="B49" s="1">
        <v>2004</v>
      </c>
      <c r="C49" t="s">
        <v>11</v>
      </c>
      <c r="D49" t="s">
        <v>14</v>
      </c>
      <c r="E49">
        <v>1550</v>
      </c>
    </row>
    <row r="50" spans="2:5" x14ac:dyDescent="0.3">
      <c r="B50" s="1">
        <v>2004</v>
      </c>
      <c r="C50" t="s">
        <v>12</v>
      </c>
      <c r="D50" t="s">
        <v>13</v>
      </c>
      <c r="E50">
        <v>1000</v>
      </c>
    </row>
    <row r="51" spans="2:5" x14ac:dyDescent="0.3">
      <c r="B51" s="1">
        <v>2004</v>
      </c>
      <c r="C51" t="s">
        <v>12</v>
      </c>
      <c r="D51" t="s">
        <v>14</v>
      </c>
      <c r="E51">
        <v>1190</v>
      </c>
    </row>
    <row r="52" spans="2:5" x14ac:dyDescent="0.3">
      <c r="B52" s="1">
        <v>2005</v>
      </c>
      <c r="C52" t="s">
        <v>7</v>
      </c>
      <c r="D52" t="s">
        <v>13</v>
      </c>
      <c r="E52">
        <v>950</v>
      </c>
    </row>
    <row r="53" spans="2:5" x14ac:dyDescent="0.3">
      <c r="B53" s="1">
        <v>2005</v>
      </c>
      <c r="C53" t="s">
        <v>7</v>
      </c>
      <c r="D53" t="s">
        <v>14</v>
      </c>
      <c r="E53">
        <v>1420</v>
      </c>
    </row>
    <row r="54" spans="2:5" x14ac:dyDescent="0.3">
      <c r="B54" s="1">
        <v>2005</v>
      </c>
      <c r="C54" t="s">
        <v>8</v>
      </c>
      <c r="D54" t="s">
        <v>13</v>
      </c>
      <c r="E54">
        <v>1140</v>
      </c>
    </row>
    <row r="55" spans="2:5" x14ac:dyDescent="0.3">
      <c r="B55" s="1">
        <v>2005</v>
      </c>
      <c r="C55" t="s">
        <v>8</v>
      </c>
      <c r="D55" t="s">
        <v>14</v>
      </c>
      <c r="E55">
        <v>1090</v>
      </c>
    </row>
    <row r="56" spans="2:5" x14ac:dyDescent="0.3">
      <c r="B56" s="1">
        <v>2005</v>
      </c>
      <c r="C56" t="s">
        <v>9</v>
      </c>
      <c r="D56" t="s">
        <v>13</v>
      </c>
      <c r="E56">
        <v>980</v>
      </c>
    </row>
    <row r="57" spans="2:5" x14ac:dyDescent="0.3">
      <c r="B57" s="1">
        <v>2005</v>
      </c>
      <c r="C57" t="s">
        <v>9</v>
      </c>
      <c r="D57" t="s">
        <v>14</v>
      </c>
      <c r="E57">
        <v>1600</v>
      </c>
    </row>
    <row r="58" spans="2:5" x14ac:dyDescent="0.3">
      <c r="B58" s="1">
        <v>2005</v>
      </c>
      <c r="C58" t="s">
        <v>10</v>
      </c>
      <c r="D58" t="s">
        <v>13</v>
      </c>
      <c r="E58">
        <v>1010</v>
      </c>
    </row>
    <row r="59" spans="2:5" x14ac:dyDescent="0.3">
      <c r="B59" s="1">
        <v>2005</v>
      </c>
      <c r="C59" t="s">
        <v>10</v>
      </c>
      <c r="D59" t="s">
        <v>14</v>
      </c>
      <c r="E59">
        <v>1290</v>
      </c>
    </row>
    <row r="60" spans="2:5" x14ac:dyDescent="0.3">
      <c r="B60" s="1">
        <v>2005</v>
      </c>
      <c r="C60" t="s">
        <v>11</v>
      </c>
      <c r="D60" t="s">
        <v>13</v>
      </c>
      <c r="E60">
        <v>1060</v>
      </c>
    </row>
    <row r="61" spans="2:5" x14ac:dyDescent="0.3">
      <c r="B61" s="1">
        <v>2005</v>
      </c>
      <c r="C61" t="s">
        <v>11</v>
      </c>
      <c r="D61" t="s">
        <v>14</v>
      </c>
      <c r="E61">
        <v>1490</v>
      </c>
    </row>
    <row r="62" spans="2:5" x14ac:dyDescent="0.3">
      <c r="B62" s="1">
        <v>2005</v>
      </c>
      <c r="C62" t="s">
        <v>12</v>
      </c>
      <c r="D62" t="s">
        <v>13</v>
      </c>
      <c r="E62">
        <v>950</v>
      </c>
    </row>
    <row r="63" spans="2:5" x14ac:dyDescent="0.3">
      <c r="B63" s="1">
        <v>2005</v>
      </c>
      <c r="C63" t="s">
        <v>12</v>
      </c>
      <c r="D63" t="s">
        <v>14</v>
      </c>
      <c r="E63">
        <v>980</v>
      </c>
    </row>
    <row r="64" spans="2:5" x14ac:dyDescent="0.3">
      <c r="B64" s="1">
        <v>2006</v>
      </c>
      <c r="C64" t="s">
        <v>7</v>
      </c>
      <c r="D64" t="s">
        <v>13</v>
      </c>
      <c r="E64">
        <v>1050</v>
      </c>
    </row>
    <row r="65" spans="2:5" x14ac:dyDescent="0.3">
      <c r="B65" s="1">
        <v>2006</v>
      </c>
      <c r="C65" t="s">
        <v>7</v>
      </c>
      <c r="D65" t="s">
        <v>14</v>
      </c>
      <c r="E65">
        <v>1490</v>
      </c>
    </row>
    <row r="66" spans="2:5" x14ac:dyDescent="0.3">
      <c r="B66" s="1">
        <v>2006</v>
      </c>
      <c r="C66" t="s">
        <v>8</v>
      </c>
      <c r="D66" t="s">
        <v>13</v>
      </c>
      <c r="E66">
        <v>1030</v>
      </c>
    </row>
    <row r="67" spans="2:5" x14ac:dyDescent="0.3">
      <c r="B67" s="1">
        <v>2006</v>
      </c>
      <c r="C67" t="s">
        <v>8</v>
      </c>
      <c r="D67" t="s">
        <v>14</v>
      </c>
      <c r="E67">
        <v>1460</v>
      </c>
    </row>
    <row r="68" spans="2:5" x14ac:dyDescent="0.3">
      <c r="B68" s="1">
        <v>2006</v>
      </c>
      <c r="C68" t="s">
        <v>9</v>
      </c>
      <c r="D68" t="s">
        <v>13</v>
      </c>
      <c r="E68">
        <v>860</v>
      </c>
    </row>
    <row r="69" spans="2:5" x14ac:dyDescent="0.3">
      <c r="B69" s="1">
        <v>2006</v>
      </c>
      <c r="C69" t="s">
        <v>9</v>
      </c>
      <c r="D69" t="s">
        <v>14</v>
      </c>
      <c r="E69">
        <v>1050</v>
      </c>
    </row>
    <row r="70" spans="2:5" x14ac:dyDescent="0.3">
      <c r="B70" s="1">
        <v>2006</v>
      </c>
      <c r="C70" t="s">
        <v>10</v>
      </c>
      <c r="D70" t="s">
        <v>13</v>
      </c>
      <c r="E70">
        <v>910</v>
      </c>
    </row>
    <row r="71" spans="2:5" x14ac:dyDescent="0.3">
      <c r="B71" s="1">
        <v>2006</v>
      </c>
      <c r="C71" t="s">
        <v>10</v>
      </c>
      <c r="D71" t="s">
        <v>14</v>
      </c>
      <c r="E71">
        <v>1430</v>
      </c>
    </row>
    <row r="72" spans="2:5" x14ac:dyDescent="0.3">
      <c r="B72" s="1">
        <v>2006</v>
      </c>
      <c r="C72" t="s">
        <v>11</v>
      </c>
      <c r="D72" t="s">
        <v>13</v>
      </c>
      <c r="E72">
        <v>950</v>
      </c>
    </row>
    <row r="73" spans="2:5" x14ac:dyDescent="0.3">
      <c r="B73" s="1">
        <v>2006</v>
      </c>
      <c r="C73" t="s">
        <v>11</v>
      </c>
      <c r="D73" t="s">
        <v>14</v>
      </c>
      <c r="E73">
        <v>1320</v>
      </c>
    </row>
    <row r="74" spans="2:5" x14ac:dyDescent="0.3">
      <c r="B74" s="1">
        <v>2006</v>
      </c>
      <c r="C74" t="s">
        <v>12</v>
      </c>
      <c r="D74" t="s">
        <v>13</v>
      </c>
      <c r="E74">
        <v>1060</v>
      </c>
    </row>
    <row r="75" spans="2:5" x14ac:dyDescent="0.3">
      <c r="B75" s="1">
        <v>2006</v>
      </c>
      <c r="C75" t="s">
        <v>12</v>
      </c>
      <c r="D75" t="s">
        <v>14</v>
      </c>
      <c r="E75">
        <v>1790</v>
      </c>
    </row>
    <row r="76" spans="2:5" x14ac:dyDescent="0.3">
      <c r="B76" s="1">
        <v>2007</v>
      </c>
      <c r="C76" t="s">
        <v>7</v>
      </c>
      <c r="D76" t="s">
        <v>13</v>
      </c>
      <c r="E76">
        <v>1020</v>
      </c>
    </row>
    <row r="77" spans="2:5" x14ac:dyDescent="0.3">
      <c r="B77" s="1">
        <v>2007</v>
      </c>
      <c r="C77" t="s">
        <v>7</v>
      </c>
      <c r="D77" t="s">
        <v>14</v>
      </c>
      <c r="E77">
        <v>1480</v>
      </c>
    </row>
    <row r="78" spans="2:5" x14ac:dyDescent="0.3">
      <c r="B78" s="1">
        <v>2007</v>
      </c>
      <c r="C78" t="s">
        <v>8</v>
      </c>
      <c r="D78" t="s">
        <v>13</v>
      </c>
      <c r="E78">
        <v>980</v>
      </c>
    </row>
    <row r="79" spans="2:5" x14ac:dyDescent="0.3">
      <c r="B79" s="1">
        <v>2007</v>
      </c>
      <c r="C79" t="s">
        <v>8</v>
      </c>
      <c r="D79" t="s">
        <v>14</v>
      </c>
      <c r="E79">
        <v>1400</v>
      </c>
    </row>
    <row r="80" spans="2:5" x14ac:dyDescent="0.3">
      <c r="B80" s="1">
        <v>2007</v>
      </c>
      <c r="C80" t="s">
        <v>9</v>
      </c>
      <c r="D80" t="s">
        <v>13</v>
      </c>
      <c r="E80">
        <v>890</v>
      </c>
    </row>
    <row r="81" spans="2:5" x14ac:dyDescent="0.3">
      <c r="B81" s="1">
        <v>2007</v>
      </c>
      <c r="C81" t="s">
        <v>9</v>
      </c>
      <c r="D81" t="s">
        <v>14</v>
      </c>
      <c r="E81">
        <v>1760</v>
      </c>
    </row>
    <row r="82" spans="2:5" x14ac:dyDescent="0.3">
      <c r="B82" s="1">
        <v>2007</v>
      </c>
      <c r="C82" t="s">
        <v>10</v>
      </c>
      <c r="D82" t="s">
        <v>13</v>
      </c>
      <c r="E82">
        <v>970</v>
      </c>
    </row>
    <row r="83" spans="2:5" x14ac:dyDescent="0.3">
      <c r="B83" s="1">
        <v>2007</v>
      </c>
      <c r="C83" t="s">
        <v>10</v>
      </c>
      <c r="D83" t="s">
        <v>14</v>
      </c>
      <c r="E83">
        <v>1190</v>
      </c>
    </row>
    <row r="84" spans="2:5" x14ac:dyDescent="0.3">
      <c r="B84" s="1">
        <v>2007</v>
      </c>
      <c r="C84" t="s">
        <v>11</v>
      </c>
      <c r="D84" t="s">
        <v>13</v>
      </c>
      <c r="E84">
        <v>870</v>
      </c>
    </row>
    <row r="85" spans="2:5" x14ac:dyDescent="0.3">
      <c r="B85" s="1">
        <v>2007</v>
      </c>
      <c r="C85" t="s">
        <v>11</v>
      </c>
      <c r="D85" t="s">
        <v>14</v>
      </c>
      <c r="E85">
        <v>1010</v>
      </c>
    </row>
    <row r="86" spans="2:5" x14ac:dyDescent="0.3">
      <c r="B86" s="1">
        <v>2007</v>
      </c>
      <c r="C86" t="s">
        <v>12</v>
      </c>
      <c r="D86" t="s">
        <v>13</v>
      </c>
      <c r="E86">
        <v>880</v>
      </c>
    </row>
    <row r="87" spans="2:5" x14ac:dyDescent="0.3">
      <c r="B87" s="1">
        <v>2007</v>
      </c>
      <c r="C87" t="s">
        <v>12</v>
      </c>
      <c r="D87" t="s">
        <v>14</v>
      </c>
      <c r="E87">
        <v>1260</v>
      </c>
    </row>
    <row r="88" spans="2:5" x14ac:dyDescent="0.3">
      <c r="B88" s="1">
        <v>2008</v>
      </c>
      <c r="C88" t="s">
        <v>7</v>
      </c>
      <c r="D88" t="s">
        <v>13</v>
      </c>
      <c r="E88">
        <v>1070</v>
      </c>
    </row>
    <row r="89" spans="2:5" x14ac:dyDescent="0.3">
      <c r="B89" s="1">
        <v>2008</v>
      </c>
      <c r="C89" t="s">
        <v>7</v>
      </c>
      <c r="D89" t="s">
        <v>14</v>
      </c>
      <c r="E89">
        <v>1590</v>
      </c>
    </row>
    <row r="90" spans="2:5" x14ac:dyDescent="0.3">
      <c r="B90" s="1">
        <v>2008</v>
      </c>
      <c r="C90" t="s">
        <v>8</v>
      </c>
      <c r="D90" t="s">
        <v>13</v>
      </c>
      <c r="E90">
        <v>890</v>
      </c>
    </row>
    <row r="91" spans="2:5" x14ac:dyDescent="0.3">
      <c r="B91" s="1">
        <v>2008</v>
      </c>
      <c r="C91" t="s">
        <v>8</v>
      </c>
      <c r="D91" t="s">
        <v>14</v>
      </c>
      <c r="E91">
        <v>1430</v>
      </c>
    </row>
    <row r="92" spans="2:5" x14ac:dyDescent="0.3">
      <c r="B92" s="1">
        <v>2008</v>
      </c>
      <c r="C92" t="s">
        <v>9</v>
      </c>
      <c r="D92" t="s">
        <v>13</v>
      </c>
      <c r="E92">
        <v>1050</v>
      </c>
    </row>
    <row r="93" spans="2:5" x14ac:dyDescent="0.3">
      <c r="B93" s="1">
        <v>2008</v>
      </c>
      <c r="C93" t="s">
        <v>9</v>
      </c>
      <c r="D93" t="s">
        <v>14</v>
      </c>
      <c r="E93">
        <v>780</v>
      </c>
    </row>
    <row r="94" spans="2:5" x14ac:dyDescent="0.3">
      <c r="B94" s="1">
        <v>2008</v>
      </c>
      <c r="C94" t="s">
        <v>10</v>
      </c>
      <c r="D94" t="s">
        <v>13</v>
      </c>
      <c r="E94">
        <v>1120</v>
      </c>
    </row>
    <row r="95" spans="2:5" x14ac:dyDescent="0.3">
      <c r="B95" s="1">
        <v>2008</v>
      </c>
      <c r="C95" t="s">
        <v>10</v>
      </c>
      <c r="D95" t="s">
        <v>14</v>
      </c>
      <c r="E95">
        <v>1220</v>
      </c>
    </row>
    <row r="96" spans="2:5" x14ac:dyDescent="0.3">
      <c r="B96" s="1">
        <v>2008</v>
      </c>
      <c r="C96" t="s">
        <v>11</v>
      </c>
      <c r="D96" t="s">
        <v>13</v>
      </c>
      <c r="E96">
        <v>950</v>
      </c>
    </row>
    <row r="97" spans="2:5" x14ac:dyDescent="0.3">
      <c r="B97" s="1">
        <v>2008</v>
      </c>
      <c r="C97" t="s">
        <v>11</v>
      </c>
      <c r="D97" t="s">
        <v>14</v>
      </c>
      <c r="E97">
        <v>1260</v>
      </c>
    </row>
    <row r="98" spans="2:5" x14ac:dyDescent="0.3">
      <c r="B98" s="1">
        <v>2008</v>
      </c>
      <c r="C98" t="s">
        <v>12</v>
      </c>
      <c r="D98" t="s">
        <v>13</v>
      </c>
      <c r="E98">
        <v>1120</v>
      </c>
    </row>
    <row r="99" spans="2:5" x14ac:dyDescent="0.3">
      <c r="B99" s="1">
        <v>2008</v>
      </c>
      <c r="C99" t="s">
        <v>12</v>
      </c>
      <c r="D99" t="s">
        <v>14</v>
      </c>
      <c r="E99">
        <v>1620</v>
      </c>
    </row>
    <row r="100" spans="2:5" x14ac:dyDescent="0.3">
      <c r="B100" s="1">
        <v>2009</v>
      </c>
      <c r="C100" t="s">
        <v>7</v>
      </c>
      <c r="D100" t="s">
        <v>13</v>
      </c>
      <c r="E100">
        <v>850</v>
      </c>
    </row>
    <row r="101" spans="2:5" x14ac:dyDescent="0.3">
      <c r="B101" s="1">
        <v>2009</v>
      </c>
      <c r="C101" t="s">
        <v>7</v>
      </c>
      <c r="D101" t="s">
        <v>14</v>
      </c>
      <c r="E101">
        <v>1390</v>
      </c>
    </row>
    <row r="102" spans="2:5" x14ac:dyDescent="0.3">
      <c r="B102" s="1">
        <v>2009</v>
      </c>
      <c r="C102" t="s">
        <v>8</v>
      </c>
      <c r="D102" t="s">
        <v>13</v>
      </c>
      <c r="E102">
        <v>1150</v>
      </c>
    </row>
    <row r="103" spans="2:5" x14ac:dyDescent="0.3">
      <c r="B103" s="1">
        <v>2009</v>
      </c>
      <c r="C103" t="s">
        <v>8</v>
      </c>
      <c r="D103" t="s">
        <v>14</v>
      </c>
      <c r="E103">
        <v>1470</v>
      </c>
    </row>
    <row r="104" spans="2:5" x14ac:dyDescent="0.3">
      <c r="B104" s="1">
        <v>2009</v>
      </c>
      <c r="C104" t="s">
        <v>9</v>
      </c>
      <c r="D104" t="s">
        <v>13</v>
      </c>
      <c r="E104">
        <v>1080</v>
      </c>
    </row>
    <row r="105" spans="2:5" x14ac:dyDescent="0.3">
      <c r="B105" s="1">
        <v>2009</v>
      </c>
      <c r="C105" t="s">
        <v>9</v>
      </c>
      <c r="D105" t="s">
        <v>14</v>
      </c>
      <c r="E105">
        <v>1260</v>
      </c>
    </row>
    <row r="106" spans="2:5" x14ac:dyDescent="0.3">
      <c r="B106" s="1">
        <v>2009</v>
      </c>
      <c r="C106" t="s">
        <v>10</v>
      </c>
      <c r="D106" t="s">
        <v>13</v>
      </c>
      <c r="E106">
        <v>1110</v>
      </c>
    </row>
    <row r="107" spans="2:5" x14ac:dyDescent="0.3">
      <c r="B107" s="1">
        <v>2009</v>
      </c>
      <c r="C107" t="s">
        <v>10</v>
      </c>
      <c r="D107" t="s">
        <v>14</v>
      </c>
      <c r="E107">
        <v>1810</v>
      </c>
    </row>
    <row r="108" spans="2:5" x14ac:dyDescent="0.3">
      <c r="B108" s="1">
        <v>2009</v>
      </c>
      <c r="C108" t="s">
        <v>11</v>
      </c>
      <c r="D108" t="s">
        <v>13</v>
      </c>
      <c r="E108">
        <v>950</v>
      </c>
    </row>
    <row r="109" spans="2:5" x14ac:dyDescent="0.3">
      <c r="B109" s="1">
        <v>2009</v>
      </c>
      <c r="C109" t="s">
        <v>11</v>
      </c>
      <c r="D109" t="s">
        <v>14</v>
      </c>
      <c r="E109">
        <v>1460</v>
      </c>
    </row>
    <row r="110" spans="2:5" x14ac:dyDescent="0.3">
      <c r="B110" s="1">
        <v>2009</v>
      </c>
      <c r="C110" t="s">
        <v>12</v>
      </c>
      <c r="D110" t="s">
        <v>13</v>
      </c>
      <c r="E110">
        <v>1180</v>
      </c>
    </row>
    <row r="111" spans="2:5" x14ac:dyDescent="0.3">
      <c r="B111" s="1">
        <v>2009</v>
      </c>
      <c r="C111" t="s">
        <v>12</v>
      </c>
      <c r="D111" t="s">
        <v>14</v>
      </c>
      <c r="E111">
        <v>1400</v>
      </c>
    </row>
    <row r="112" spans="2:5" x14ac:dyDescent="0.3">
      <c r="B112" s="1">
        <v>2010</v>
      </c>
      <c r="C112" t="s">
        <v>7</v>
      </c>
      <c r="D112" t="s">
        <v>13</v>
      </c>
      <c r="E112">
        <v>1010</v>
      </c>
    </row>
    <row r="113" spans="2:5" x14ac:dyDescent="0.3">
      <c r="B113" s="1">
        <v>2010</v>
      </c>
      <c r="C113" t="s">
        <v>7</v>
      </c>
      <c r="D113" t="s">
        <v>14</v>
      </c>
      <c r="E113">
        <v>1420</v>
      </c>
    </row>
    <row r="114" spans="2:5" x14ac:dyDescent="0.3">
      <c r="B114" s="1">
        <v>2010</v>
      </c>
      <c r="C114" t="s">
        <v>8</v>
      </c>
      <c r="D114" t="s">
        <v>13</v>
      </c>
      <c r="E114">
        <v>970</v>
      </c>
    </row>
    <row r="115" spans="2:5" x14ac:dyDescent="0.3">
      <c r="B115" s="1">
        <v>2010</v>
      </c>
      <c r="C115" t="s">
        <v>8</v>
      </c>
      <c r="D115" t="s">
        <v>14</v>
      </c>
      <c r="E115">
        <v>1370</v>
      </c>
    </row>
    <row r="116" spans="2:5" x14ac:dyDescent="0.3">
      <c r="B116" s="1">
        <v>2010</v>
      </c>
      <c r="C116" t="s">
        <v>9</v>
      </c>
      <c r="D116" t="s">
        <v>13</v>
      </c>
      <c r="E116">
        <v>1100</v>
      </c>
    </row>
    <row r="117" spans="2:5" x14ac:dyDescent="0.3">
      <c r="B117" s="1">
        <v>2010</v>
      </c>
      <c r="C117" t="s">
        <v>9</v>
      </c>
      <c r="D117" t="s">
        <v>14</v>
      </c>
      <c r="E117">
        <v>1360</v>
      </c>
    </row>
    <row r="118" spans="2:5" x14ac:dyDescent="0.3">
      <c r="B118" s="1">
        <v>2010</v>
      </c>
      <c r="C118" t="s">
        <v>10</v>
      </c>
      <c r="D118" t="s">
        <v>13</v>
      </c>
      <c r="E118">
        <v>1120</v>
      </c>
    </row>
    <row r="119" spans="2:5" x14ac:dyDescent="0.3">
      <c r="B119" s="1">
        <v>2010</v>
      </c>
      <c r="C119" t="s">
        <v>10</v>
      </c>
      <c r="D119" t="s">
        <v>14</v>
      </c>
      <c r="E119">
        <v>1380</v>
      </c>
    </row>
    <row r="120" spans="2:5" x14ac:dyDescent="0.3">
      <c r="B120" s="1">
        <v>2010</v>
      </c>
      <c r="C120" t="s">
        <v>11</v>
      </c>
      <c r="D120" t="s">
        <v>13</v>
      </c>
      <c r="E120">
        <v>1020</v>
      </c>
    </row>
    <row r="121" spans="2:5" x14ac:dyDescent="0.3">
      <c r="B121" s="1">
        <v>2010</v>
      </c>
      <c r="C121" t="s">
        <v>11</v>
      </c>
      <c r="D121" t="s">
        <v>14</v>
      </c>
      <c r="E121">
        <v>980</v>
      </c>
    </row>
    <row r="122" spans="2:5" x14ac:dyDescent="0.3">
      <c r="B122" s="1">
        <v>2010</v>
      </c>
      <c r="C122" t="s">
        <v>12</v>
      </c>
      <c r="D122" t="s">
        <v>13</v>
      </c>
      <c r="E122">
        <v>1130</v>
      </c>
    </row>
    <row r="123" spans="2:5" x14ac:dyDescent="0.3">
      <c r="B123" s="1">
        <v>2010</v>
      </c>
      <c r="C123" t="s">
        <v>12</v>
      </c>
      <c r="D123" t="s">
        <v>14</v>
      </c>
      <c r="E123">
        <v>2100</v>
      </c>
    </row>
    <row r="124" spans="2:5" x14ac:dyDescent="0.3">
      <c r="B124" s="1">
        <v>2011</v>
      </c>
      <c r="C124" t="s">
        <v>7</v>
      </c>
      <c r="D124" t="s">
        <v>13</v>
      </c>
      <c r="E124">
        <v>1080</v>
      </c>
    </row>
    <row r="125" spans="2:5" x14ac:dyDescent="0.3">
      <c r="B125" s="1">
        <v>2011</v>
      </c>
      <c r="C125" t="s">
        <v>7</v>
      </c>
      <c r="D125" t="s">
        <v>14</v>
      </c>
      <c r="E125">
        <v>1360</v>
      </c>
    </row>
    <row r="126" spans="2:5" x14ac:dyDescent="0.3">
      <c r="B126" s="1">
        <v>2011</v>
      </c>
      <c r="C126" t="s">
        <v>8</v>
      </c>
      <c r="D126" t="s">
        <v>13</v>
      </c>
      <c r="E126">
        <v>920</v>
      </c>
    </row>
    <row r="127" spans="2:5" x14ac:dyDescent="0.3">
      <c r="B127" s="1">
        <v>2011</v>
      </c>
      <c r="C127" t="s">
        <v>8</v>
      </c>
      <c r="D127" t="s">
        <v>14</v>
      </c>
      <c r="E127">
        <v>1020</v>
      </c>
    </row>
    <row r="128" spans="2:5" x14ac:dyDescent="0.3">
      <c r="B128" s="1">
        <v>2011</v>
      </c>
      <c r="C128" t="s">
        <v>9</v>
      </c>
      <c r="D128" t="s">
        <v>13</v>
      </c>
      <c r="E128">
        <v>1200</v>
      </c>
    </row>
    <row r="129" spans="2:5" x14ac:dyDescent="0.3">
      <c r="B129" s="1">
        <v>2011</v>
      </c>
      <c r="C129" t="s">
        <v>9</v>
      </c>
      <c r="D129" t="s">
        <v>14</v>
      </c>
      <c r="E129">
        <v>1750</v>
      </c>
    </row>
    <row r="130" spans="2:5" x14ac:dyDescent="0.3">
      <c r="B130" s="1">
        <v>2011</v>
      </c>
      <c r="C130" t="s">
        <v>10</v>
      </c>
      <c r="D130" t="s">
        <v>13</v>
      </c>
      <c r="E130">
        <v>1060</v>
      </c>
    </row>
    <row r="131" spans="2:5" x14ac:dyDescent="0.3">
      <c r="B131" s="1">
        <v>2011</v>
      </c>
      <c r="C131" t="s">
        <v>10</v>
      </c>
      <c r="D131" t="s">
        <v>14</v>
      </c>
      <c r="E131">
        <v>1070</v>
      </c>
    </row>
    <row r="132" spans="2:5" x14ac:dyDescent="0.3">
      <c r="B132" s="1">
        <v>2011</v>
      </c>
      <c r="C132" t="s">
        <v>11</v>
      </c>
      <c r="D132" t="s">
        <v>13</v>
      </c>
      <c r="E132">
        <v>1080</v>
      </c>
    </row>
    <row r="133" spans="2:5" x14ac:dyDescent="0.3">
      <c r="B133" s="1">
        <v>2011</v>
      </c>
      <c r="C133" t="s">
        <v>11</v>
      </c>
      <c r="D133" t="s">
        <v>14</v>
      </c>
      <c r="E133">
        <v>1760</v>
      </c>
    </row>
    <row r="134" spans="2:5" x14ac:dyDescent="0.3">
      <c r="B134" s="1">
        <v>2011</v>
      </c>
      <c r="C134" t="s">
        <v>12</v>
      </c>
      <c r="D134" t="s">
        <v>13</v>
      </c>
      <c r="E134">
        <v>1090</v>
      </c>
    </row>
    <row r="135" spans="2:5" x14ac:dyDescent="0.3">
      <c r="B135" s="1">
        <v>2011</v>
      </c>
      <c r="C135" t="s">
        <v>12</v>
      </c>
      <c r="D135" t="s">
        <v>14</v>
      </c>
      <c r="E135">
        <v>1700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K28"/>
  <sheetViews>
    <sheetView showGridLines="0" workbookViewId="0">
      <selection activeCell="J23" sqref="J23"/>
    </sheetView>
  </sheetViews>
  <sheetFormatPr defaultRowHeight="14.4" x14ac:dyDescent="0.3"/>
  <cols>
    <col min="2" max="2" width="18.5546875" bestFit="1" customWidth="1"/>
    <col min="3" max="5" width="10.109375" bestFit="1" customWidth="1"/>
    <col min="7" max="7" width="10.33203125" bestFit="1" customWidth="1"/>
    <col min="8" max="8" width="12.44140625" customWidth="1"/>
    <col min="9" max="9" width="9.6640625" customWidth="1"/>
    <col min="10" max="10" width="14.5546875" customWidth="1"/>
  </cols>
  <sheetData>
    <row r="1" spans="2:11" x14ac:dyDescent="0.3">
      <c r="B1" s="4" t="s">
        <v>15</v>
      </c>
    </row>
    <row r="3" spans="2:11" x14ac:dyDescent="0.3">
      <c r="B3" s="4" t="s">
        <v>22</v>
      </c>
      <c r="C3" s="4">
        <f>yearPicked</f>
        <v>2006</v>
      </c>
      <c r="D3" s="4">
        <v>2006</v>
      </c>
    </row>
    <row r="4" spans="2:11" x14ac:dyDescent="0.3">
      <c r="B4" s="4" t="s">
        <v>16</v>
      </c>
      <c r="C4" s="4" t="str">
        <f>productPicked</f>
        <v>Nutri Bars</v>
      </c>
      <c r="D4" s="4" t="s">
        <v>11</v>
      </c>
      <c r="E4" t="b">
        <v>1</v>
      </c>
    </row>
    <row r="5" spans="2:11" x14ac:dyDescent="0.3">
      <c r="B5" s="4" t="s">
        <v>17</v>
      </c>
      <c r="C5" s="4" t="str">
        <f>RegionPicked</f>
        <v>North</v>
      </c>
      <c r="D5" s="4" t="s">
        <v>13</v>
      </c>
    </row>
    <row r="7" spans="2:11" x14ac:dyDescent="0.3">
      <c r="B7" s="4" t="s">
        <v>23</v>
      </c>
      <c r="C7" s="4" t="s">
        <v>3</v>
      </c>
    </row>
    <row r="8" spans="2:11" x14ac:dyDescent="0.3">
      <c r="B8" s="5" t="s">
        <v>5</v>
      </c>
      <c r="C8" s="5" t="s">
        <v>13</v>
      </c>
      <c r="D8" s="5" t="s">
        <v>14</v>
      </c>
      <c r="E8" s="5" t="s">
        <v>20</v>
      </c>
      <c r="G8" s="6" t="str">
        <f>B8</f>
        <v>Products</v>
      </c>
      <c r="H8" s="6" t="str">
        <f>C8</f>
        <v>North</v>
      </c>
      <c r="I8" s="6" t="str">
        <f>D8</f>
        <v>South</v>
      </c>
      <c r="J8" s="6" t="str">
        <f>E8</f>
        <v>All Regions</v>
      </c>
      <c r="K8" s="4" t="s">
        <v>21</v>
      </c>
    </row>
    <row r="9" spans="2:11" x14ac:dyDescent="0.3">
      <c r="B9" s="5" t="str">
        <f>data1!I4</f>
        <v>Biscuits</v>
      </c>
      <c r="C9" s="8">
        <f>SUMIFS(tblSales3[Sales ($)],tblSales3[Year],$C$3,tblSales3[Product],$B9,tblSales3[Region],C$8)</f>
        <v>1050</v>
      </c>
      <c r="D9" s="8">
        <f>SUMIFS(tblSales3[Sales ($)],tblSales3[Year],$C$3,tblSales3[Product],$B9,tblSales3[Region],D$8)</f>
        <v>1490</v>
      </c>
      <c r="E9" s="8">
        <f>SUM(C9:D9)</f>
        <v>2540</v>
      </c>
      <c r="G9" s="6" t="str">
        <f t="shared" ref="G9:G14" si="0">B9</f>
        <v>Biscuits</v>
      </c>
      <c r="H9" s="6">
        <f>IF($C$5=H$8,C9,NA())</f>
        <v>1050</v>
      </c>
      <c r="I9" s="6" t="e">
        <f>IF($C$5=I$8,D9,NA())</f>
        <v>#N/A</v>
      </c>
      <c r="J9" s="6" t="e">
        <f>IF($C$5=J$8,E9,NA())</f>
        <v>#N/A</v>
      </c>
      <c r="K9" s="4" t="e">
        <f t="shared" ref="K9:K14" si="1">IF(G9=productPicked,INDEX($H9:$J9,MATCH(RegionPicked,$H$8:$J$8,0)),NA())</f>
        <v>#N/A</v>
      </c>
    </row>
    <row r="10" spans="2:11" x14ac:dyDescent="0.3">
      <c r="B10" s="5" t="str">
        <f>data1!I5</f>
        <v>Chocolates</v>
      </c>
      <c r="C10" s="8">
        <f>SUMIFS(tblSales3[Sales ($)],tblSales3[Year],$C$3,tblSales3[Product],$B10,tblSales3[Region],C$8)</f>
        <v>1030</v>
      </c>
      <c r="D10" s="8">
        <f>SUMIFS(tblSales3[Sales ($)],tblSales3[Year],$C$3,tblSales3[Product],$B10,tblSales3[Region],D$8)</f>
        <v>1460</v>
      </c>
      <c r="E10" s="8">
        <f t="shared" ref="E10:E14" si="2">SUM(C10:D10)</f>
        <v>2490</v>
      </c>
      <c r="G10" s="6" t="str">
        <f t="shared" si="0"/>
        <v>Chocolates</v>
      </c>
      <c r="H10" s="6">
        <f t="shared" ref="H10:H14" si="3">IF($C$5=H$8,C10,NA())</f>
        <v>1030</v>
      </c>
      <c r="I10" s="6" t="e">
        <f t="shared" ref="I10:I14" si="4">IF($C$5=I$8,D10,NA())</f>
        <v>#N/A</v>
      </c>
      <c r="J10" s="6" t="e">
        <f t="shared" ref="J10:J14" si="5">IF($C$5=J$8,E10,NA())</f>
        <v>#N/A</v>
      </c>
      <c r="K10" s="4" t="e">
        <f t="shared" si="1"/>
        <v>#N/A</v>
      </c>
    </row>
    <row r="11" spans="2:11" x14ac:dyDescent="0.3">
      <c r="B11" s="5" t="str">
        <f>data1!I6</f>
        <v>Chocochips</v>
      </c>
      <c r="C11" s="8">
        <f>SUMIFS(tblSales3[Sales ($)],tblSales3[Year],$C$3,tblSales3[Product],$B11,tblSales3[Region],C$8)</f>
        <v>860</v>
      </c>
      <c r="D11" s="8">
        <f>SUMIFS(tblSales3[Sales ($)],tblSales3[Year],$C$3,tblSales3[Product],$B11,tblSales3[Region],D$8)</f>
        <v>1050</v>
      </c>
      <c r="E11" s="8">
        <f t="shared" si="2"/>
        <v>1910</v>
      </c>
      <c r="G11" s="6" t="str">
        <f t="shared" si="0"/>
        <v>Chocochips</v>
      </c>
      <c r="H11" s="6">
        <f t="shared" si="3"/>
        <v>860</v>
      </c>
      <c r="I11" s="6" t="e">
        <f t="shared" si="4"/>
        <v>#N/A</v>
      </c>
      <c r="J11" s="6" t="e">
        <f t="shared" si="5"/>
        <v>#N/A</v>
      </c>
      <c r="K11" s="4" t="e">
        <f t="shared" si="1"/>
        <v>#N/A</v>
      </c>
    </row>
    <row r="12" spans="2:11" x14ac:dyDescent="0.3">
      <c r="B12" s="5" t="str">
        <f>data1!I7</f>
        <v>Cookies</v>
      </c>
      <c r="C12" s="8">
        <f>SUMIFS(tblSales3[Sales ($)],tblSales3[Year],$C$3,tblSales3[Product],$B12,tblSales3[Region],C$8)</f>
        <v>910</v>
      </c>
      <c r="D12" s="8">
        <f>SUMIFS(tblSales3[Sales ($)],tblSales3[Year],$C$3,tblSales3[Product],$B12,tblSales3[Region],D$8)</f>
        <v>1430</v>
      </c>
      <c r="E12" s="8">
        <f t="shared" si="2"/>
        <v>2340</v>
      </c>
      <c r="G12" s="6" t="str">
        <f t="shared" si="0"/>
        <v>Cookies</v>
      </c>
      <c r="H12" s="6">
        <f t="shared" si="3"/>
        <v>910</v>
      </c>
      <c r="I12" s="6" t="e">
        <f t="shared" si="4"/>
        <v>#N/A</v>
      </c>
      <c r="J12" s="6" t="e">
        <f t="shared" si="5"/>
        <v>#N/A</v>
      </c>
      <c r="K12" s="4" t="e">
        <f t="shared" si="1"/>
        <v>#N/A</v>
      </c>
    </row>
    <row r="13" spans="2:11" x14ac:dyDescent="0.3">
      <c r="B13" s="5" t="str">
        <f>data1!I8</f>
        <v>Nutri Bars</v>
      </c>
      <c r="C13" s="8">
        <f>SUMIFS(tblSales3[Sales ($)],tblSales3[Year],$C$3,tblSales3[Product],$B13,tblSales3[Region],C$8)</f>
        <v>950</v>
      </c>
      <c r="D13" s="8">
        <f>SUMIFS(tblSales3[Sales ($)],tblSales3[Year],$C$3,tblSales3[Product],$B13,tblSales3[Region],D$8)</f>
        <v>1320</v>
      </c>
      <c r="E13" s="8">
        <f t="shared" si="2"/>
        <v>2270</v>
      </c>
      <c r="G13" s="6" t="str">
        <f t="shared" si="0"/>
        <v>Nutri Bars</v>
      </c>
      <c r="H13" s="6">
        <f t="shared" si="3"/>
        <v>950</v>
      </c>
      <c r="I13" s="6" t="e">
        <f t="shared" si="4"/>
        <v>#N/A</v>
      </c>
      <c r="J13" s="6" t="e">
        <f t="shared" si="5"/>
        <v>#N/A</v>
      </c>
      <c r="K13" s="4">
        <f t="shared" si="1"/>
        <v>950</v>
      </c>
    </row>
    <row r="14" spans="2:11" x14ac:dyDescent="0.3">
      <c r="B14" s="5" t="str">
        <f>data1!I9</f>
        <v>Jelly Beans</v>
      </c>
      <c r="C14" s="8">
        <f>SUMIFS(tblSales3[Sales ($)],tblSales3[Year],$C$3,tblSales3[Product],$B14,tblSales3[Region],C$8)</f>
        <v>1060</v>
      </c>
      <c r="D14" s="8">
        <f>SUMIFS(tblSales3[Sales ($)],tblSales3[Year],$C$3,tblSales3[Product],$B14,tblSales3[Region],D$8)</f>
        <v>1790</v>
      </c>
      <c r="E14" s="8">
        <f t="shared" si="2"/>
        <v>2850</v>
      </c>
      <c r="G14" s="6" t="str">
        <f t="shared" si="0"/>
        <v>Jelly Beans</v>
      </c>
      <c r="H14" s="6">
        <f t="shared" si="3"/>
        <v>1060</v>
      </c>
      <c r="I14" s="6" t="e">
        <f t="shared" si="4"/>
        <v>#N/A</v>
      </c>
      <c r="J14" s="6" t="e">
        <f t="shared" si="5"/>
        <v>#N/A</v>
      </c>
      <c r="K14" s="4" t="e">
        <f t="shared" si="1"/>
        <v>#N/A</v>
      </c>
    </row>
    <row r="16" spans="2:11" x14ac:dyDescent="0.3">
      <c r="B16" s="7" t="s">
        <v>19</v>
      </c>
      <c r="G16" t="s">
        <v>24</v>
      </c>
    </row>
    <row r="17" spans="2:7" x14ac:dyDescent="0.3">
      <c r="B17" s="6" t="s">
        <v>0</v>
      </c>
      <c r="C17" s="6" t="s">
        <v>13</v>
      </c>
      <c r="D17" s="6" t="s">
        <v>14</v>
      </c>
      <c r="E17" s="6" t="s">
        <v>18</v>
      </c>
      <c r="G17" t="str">
        <f>"Sales in "&amp;RegionPicked&amp;" by Product - "&amp;yearPicked</f>
        <v>Sales in North by Product - 2006</v>
      </c>
    </row>
    <row r="18" spans="2:7" x14ac:dyDescent="0.3">
      <c r="B18" s="6">
        <f>data1!H4</f>
        <v>2001</v>
      </c>
      <c r="C18" s="6">
        <f>SUMIFS(tblSales3[Sales ($)],tblSales3[Year],$B18,tblSales3[Product],$C$4,tblSales3[Region],C$17)</f>
        <v>930</v>
      </c>
      <c r="D18" s="6">
        <f>SUMIFS(tblSales3[Sales ($)],tblSales3[Year],$B18,tblSales3[Product],$C$4,tblSales3[Region],D$17)</f>
        <v>1210</v>
      </c>
      <c r="E18" s="6">
        <f>SUM(C18:D18)</f>
        <v>2140</v>
      </c>
    </row>
    <row r="19" spans="2:7" x14ac:dyDescent="0.3">
      <c r="B19" s="6">
        <f>data1!H5</f>
        <v>2002</v>
      </c>
      <c r="C19" s="6">
        <f>SUMIFS(tblSales3[Sales ($)],tblSales3[Year],$B19,tblSales3[Product],$C$4,tblSales3[Region],C$17)</f>
        <v>980</v>
      </c>
      <c r="D19" s="6">
        <f>SUMIFS(tblSales3[Sales ($)],tblSales3[Year],$B19,tblSales3[Product],$C$4,tblSales3[Region],D$17)</f>
        <v>1280</v>
      </c>
      <c r="E19" s="6">
        <f t="shared" ref="E19:E28" si="6">SUM(C19:D19)</f>
        <v>2260</v>
      </c>
    </row>
    <row r="20" spans="2:7" x14ac:dyDescent="0.3">
      <c r="B20" s="6">
        <f>data1!H6</f>
        <v>2003</v>
      </c>
      <c r="C20" s="6">
        <f>SUMIFS(tblSales3[Sales ($)],tblSales3[Year],$B20,tblSales3[Product],$C$4,tblSales3[Region],C$17)</f>
        <v>920</v>
      </c>
      <c r="D20" s="6">
        <f>SUMIFS(tblSales3[Sales ($)],tblSales3[Year],$B20,tblSales3[Product],$C$4,tblSales3[Region],D$17)</f>
        <v>1870</v>
      </c>
      <c r="E20" s="6">
        <f t="shared" si="6"/>
        <v>2790</v>
      </c>
    </row>
    <row r="21" spans="2:7" x14ac:dyDescent="0.3">
      <c r="B21" s="6">
        <f>data1!H7</f>
        <v>2004</v>
      </c>
      <c r="C21" s="6">
        <f>SUMIFS(tblSales3[Sales ($)],tblSales3[Year],$B21,tblSales3[Product],$C$4,tblSales3[Region],C$17)</f>
        <v>1230</v>
      </c>
      <c r="D21" s="6">
        <f>SUMIFS(tblSales3[Sales ($)],tblSales3[Year],$B21,tblSales3[Product],$C$4,tblSales3[Region],D$17)</f>
        <v>1550</v>
      </c>
      <c r="E21" s="6">
        <f t="shared" si="6"/>
        <v>2780</v>
      </c>
    </row>
    <row r="22" spans="2:7" x14ac:dyDescent="0.3">
      <c r="B22" s="6">
        <f>data1!H8</f>
        <v>2005</v>
      </c>
      <c r="C22" s="6">
        <f>SUMIFS(tblSales3[Sales ($)],tblSales3[Year],$B22,tblSales3[Product],$C$4,tblSales3[Region],C$17)</f>
        <v>1060</v>
      </c>
      <c r="D22" s="6">
        <f>SUMIFS(tblSales3[Sales ($)],tblSales3[Year],$B22,tblSales3[Product],$C$4,tblSales3[Region],D$17)</f>
        <v>1490</v>
      </c>
      <c r="E22" s="6">
        <f t="shared" si="6"/>
        <v>2550</v>
      </c>
    </row>
    <row r="23" spans="2:7" x14ac:dyDescent="0.3">
      <c r="B23" s="6">
        <f>data1!H9</f>
        <v>2006</v>
      </c>
      <c r="C23" s="6">
        <f>SUMIFS(tblSales3[Sales ($)],tblSales3[Year],$B23,tblSales3[Product],$C$4,tblSales3[Region],C$17)</f>
        <v>950</v>
      </c>
      <c r="D23" s="6">
        <f>SUMIFS(tblSales3[Sales ($)],tblSales3[Year],$B23,tblSales3[Product],$C$4,tblSales3[Region],D$17)</f>
        <v>1320</v>
      </c>
      <c r="E23" s="6">
        <f t="shared" si="6"/>
        <v>2270</v>
      </c>
    </row>
    <row r="24" spans="2:7" x14ac:dyDescent="0.3">
      <c r="B24" s="6">
        <f>data1!H10</f>
        <v>2007</v>
      </c>
      <c r="C24" s="6">
        <f>SUMIFS(tblSales3[Sales ($)],tblSales3[Year],$B24,tblSales3[Product],$C$4,tblSales3[Region],C$17)</f>
        <v>870</v>
      </c>
      <c r="D24" s="6">
        <f>SUMIFS(tblSales3[Sales ($)],tblSales3[Year],$B24,tblSales3[Product],$C$4,tblSales3[Region],D$17)</f>
        <v>1010</v>
      </c>
      <c r="E24" s="6">
        <f t="shared" si="6"/>
        <v>1880</v>
      </c>
    </row>
    <row r="25" spans="2:7" x14ac:dyDescent="0.3">
      <c r="B25" s="6">
        <f>data1!H11</f>
        <v>2008</v>
      </c>
      <c r="C25" s="6">
        <f>SUMIFS(tblSales3[Sales ($)],tblSales3[Year],$B25,tblSales3[Product],$C$4,tblSales3[Region],C$17)</f>
        <v>950</v>
      </c>
      <c r="D25" s="6">
        <f>SUMIFS(tblSales3[Sales ($)],tblSales3[Year],$B25,tblSales3[Product],$C$4,tblSales3[Region],D$17)</f>
        <v>1260</v>
      </c>
      <c r="E25" s="6">
        <f t="shared" si="6"/>
        <v>2210</v>
      </c>
    </row>
    <row r="26" spans="2:7" x14ac:dyDescent="0.3">
      <c r="B26" s="6">
        <f>data1!H12</f>
        <v>2009</v>
      </c>
      <c r="C26" s="6">
        <f>SUMIFS(tblSales3[Sales ($)],tblSales3[Year],$B26,tblSales3[Product],$C$4,tblSales3[Region],C$17)</f>
        <v>950</v>
      </c>
      <c r="D26" s="6">
        <f>SUMIFS(tblSales3[Sales ($)],tblSales3[Year],$B26,tblSales3[Product],$C$4,tblSales3[Region],D$17)</f>
        <v>1460</v>
      </c>
      <c r="E26" s="6">
        <f t="shared" si="6"/>
        <v>2410</v>
      </c>
    </row>
    <row r="27" spans="2:7" x14ac:dyDescent="0.3">
      <c r="B27" s="6">
        <f>data1!H13</f>
        <v>2010</v>
      </c>
      <c r="C27" s="6">
        <f>SUMIFS(tblSales3[Sales ($)],tblSales3[Year],$B27,tblSales3[Product],$C$4,tblSales3[Region],C$17)</f>
        <v>1020</v>
      </c>
      <c r="D27" s="6">
        <f>SUMIFS(tblSales3[Sales ($)],tblSales3[Year],$B27,tblSales3[Product],$C$4,tblSales3[Region],D$17)</f>
        <v>980</v>
      </c>
      <c r="E27" s="6">
        <f t="shared" si="6"/>
        <v>2000</v>
      </c>
    </row>
    <row r="28" spans="2:7" x14ac:dyDescent="0.3">
      <c r="B28" s="6">
        <f>data1!H14</f>
        <v>2011</v>
      </c>
      <c r="C28" s="6">
        <f>SUMIFS(tblSales3[Sales ($)],tblSales3[Year],$B28,tblSales3[Product],$C$4,tblSales3[Region],C$17)</f>
        <v>1080</v>
      </c>
      <c r="D28" s="6">
        <f>SUMIFS(tblSales3[Sales ($)],tblSales3[Year],$B28,tblSales3[Product],$C$4,tblSales3[Region],D$17)</f>
        <v>1760</v>
      </c>
      <c r="E28" s="6">
        <f t="shared" si="6"/>
        <v>2840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5"/>
  <sheetViews>
    <sheetView showGridLines="0" workbookViewId="0">
      <selection activeCell="K21" sqref="K21"/>
    </sheetView>
  </sheetViews>
  <sheetFormatPr defaultRowHeight="13.8" x14ac:dyDescent="0.25"/>
  <cols>
    <col min="1" max="1" width="2.6640625" style="10" customWidth="1"/>
    <col min="2" max="2" width="23.6640625" style="10" customWidth="1"/>
    <col min="3" max="3" width="7.44140625" style="10" customWidth="1"/>
    <col min="4" max="4" width="0.21875" style="10" customWidth="1"/>
    <col min="5" max="5" width="1.109375" style="10" customWidth="1"/>
    <col min="6" max="6" width="7.44140625" style="10" hidden="1" customWidth="1"/>
    <col min="7" max="12" width="10.44140625" style="10" customWidth="1"/>
    <col min="13" max="16384" width="8.88671875" style="10"/>
  </cols>
  <sheetData>
    <row r="1" spans="1:14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</row>
    <row r="2" spans="1:14" x14ac:dyDescent="0.25">
      <c r="A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</row>
    <row r="3" spans="1:14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</row>
    <row r="4" spans="1:14" x14ac:dyDescent="0.25">
      <c r="A4" s="9"/>
      <c r="B4" s="9"/>
      <c r="C4" s="9"/>
      <c r="D4" s="9"/>
      <c r="E4" s="9"/>
      <c r="F4" s="9"/>
      <c r="G4" s="9"/>
      <c r="H4" s="14" t="str">
        <f>calculation1!G17</f>
        <v>Sales in North by Product - 2006</v>
      </c>
      <c r="I4" s="14"/>
      <c r="J4" s="14"/>
      <c r="K4" s="14"/>
      <c r="L4" s="9"/>
      <c r="M4" s="9"/>
      <c r="N4" s="9"/>
    </row>
    <row r="5" spans="1:14" x14ac:dyDescent="0.25">
      <c r="A5" s="9"/>
      <c r="B5" s="11" t="s">
        <v>25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 x14ac:dyDescent="0.25">
      <c r="A6" s="9"/>
      <c r="B6" s="12">
        <f>calculation1!B18</f>
        <v>2001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 x14ac:dyDescent="0.25">
      <c r="A7" s="9"/>
      <c r="B7" s="12">
        <f>calculation1!B19</f>
        <v>2002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</row>
    <row r="8" spans="1:14" x14ac:dyDescent="0.25">
      <c r="A8" s="9"/>
      <c r="B8" s="12">
        <f>calculation1!B20</f>
        <v>2003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25">
      <c r="A9" s="9"/>
      <c r="B9" s="12">
        <f>calculation1!B21</f>
        <v>2004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1:14" x14ac:dyDescent="0.25">
      <c r="A10" s="9"/>
      <c r="B10" s="12">
        <f>calculation1!B22</f>
        <v>2005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1:14" x14ac:dyDescent="0.25">
      <c r="A11" s="9"/>
      <c r="B11" s="12">
        <f>calculation1!B23</f>
        <v>2006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1:14" x14ac:dyDescent="0.25">
      <c r="A12" s="9"/>
      <c r="B12" s="12">
        <f>calculation1!B24</f>
        <v>2007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 x14ac:dyDescent="0.25">
      <c r="A13" s="9"/>
      <c r="B13" s="12">
        <f>calculation1!B25</f>
        <v>2008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</row>
    <row r="14" spans="1:14" x14ac:dyDescent="0.25">
      <c r="A14" s="9"/>
      <c r="B14" s="12">
        <f>calculation1!B26</f>
        <v>2009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</row>
    <row r="15" spans="1:14" x14ac:dyDescent="0.25">
      <c r="A15" s="9"/>
      <c r="B15" s="12">
        <f>calculation1!B27</f>
        <v>2010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</row>
    <row r="16" spans="1:14" x14ac:dyDescent="0.25">
      <c r="A16" s="9"/>
      <c r="B16" s="12">
        <f>calculation1!B28</f>
        <v>2011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</row>
    <row r="17" spans="1:14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</row>
    <row r="18" spans="1:14" x14ac:dyDescent="0.25">
      <c r="A18" s="9"/>
      <c r="B18" s="15" t="s">
        <v>20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</row>
    <row r="19" spans="1:14" x14ac:dyDescent="0.25">
      <c r="A19" s="9"/>
      <c r="B19" s="16" t="str">
        <f>data1!J4</f>
        <v>North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</row>
    <row r="20" spans="1:14" x14ac:dyDescent="0.25">
      <c r="A20" s="9"/>
      <c r="B20" s="17" t="str">
        <f>data1!J5</f>
        <v>South</v>
      </c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</row>
    <row r="21" spans="1:14" x14ac:dyDescent="0.25">
      <c r="A21" s="9"/>
      <c r="B21" s="9"/>
      <c r="C21" s="9"/>
      <c r="D21" s="9"/>
      <c r="E21" s="9"/>
      <c r="F21" s="9"/>
      <c r="G21" s="13" t="str">
        <f>INDEX(product,COLUMNS($G$18:G18))</f>
        <v>Biscuits</v>
      </c>
      <c r="H21" s="13" t="str">
        <f>INDEX(product,COLUMNS($G$18:H18))</f>
        <v>Chocolates</v>
      </c>
      <c r="I21" s="13" t="str">
        <f>INDEX(product,COLUMNS($G$18:I18))</f>
        <v>Chocochips</v>
      </c>
      <c r="J21" s="13" t="str">
        <f>INDEX(product,COLUMNS($G$18:J18))</f>
        <v>Cookies</v>
      </c>
      <c r="K21" s="13" t="str">
        <f>INDEX(product,COLUMNS($G$18:K18))</f>
        <v>Nutri Bars</v>
      </c>
      <c r="L21" s="13" t="str">
        <f>INDEX(product,COLUMNS($G$18:L18))</f>
        <v>Jelly Beans</v>
      </c>
      <c r="M21" s="9"/>
      <c r="N21" s="9"/>
    </row>
    <row r="22" spans="1:14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</row>
    <row r="23" spans="1:14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</row>
    <row r="24" spans="1:14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</row>
    <row r="25" spans="1:14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</row>
  </sheetData>
  <mergeCells count="1">
    <mergeCell ref="H4:K4"/>
  </mergeCells>
  <conditionalFormatting sqref="M23">
    <cfRule type="expression" dxfId="3" priority="6">
      <formula>productPicked</formula>
    </cfRule>
  </conditionalFormatting>
  <conditionalFormatting sqref="B18:B20">
    <cfRule type="expression" dxfId="2" priority="5">
      <formula>B18=RegionPicked</formula>
    </cfRule>
  </conditionalFormatting>
  <conditionalFormatting sqref="B6:B16">
    <cfRule type="expression" dxfId="1" priority="2">
      <formula>B6=yearPicked</formula>
    </cfRule>
  </conditionalFormatting>
  <conditionalFormatting sqref="G21:L21">
    <cfRule type="expression" dxfId="0" priority="1">
      <formula>G21=productPicked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data1</vt:lpstr>
      <vt:lpstr>calculation1</vt:lpstr>
      <vt:lpstr>charts</vt:lpstr>
      <vt:lpstr>Biscuits</vt:lpstr>
      <vt:lpstr>product</vt:lpstr>
      <vt:lpstr>product_chart</vt:lpstr>
      <vt:lpstr>productPicked</vt:lpstr>
      <vt:lpstr>ProductStatus</vt:lpstr>
      <vt:lpstr>Re_chart</vt:lpstr>
      <vt:lpstr>Region</vt:lpstr>
      <vt:lpstr>Region_chart</vt:lpstr>
      <vt:lpstr>RegionPicked</vt:lpstr>
      <vt:lpstr>Sales_in_South_by_Product___2007</vt:lpstr>
      <vt:lpstr>Year</vt:lpstr>
      <vt:lpstr>yearPicked</vt:lpstr>
      <vt:lpstr>yr_chart</vt:lpstr>
    </vt:vector>
  </TitlesOfParts>
  <Company>Chandoo.org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Nikhil</cp:lastModifiedBy>
  <dcterms:created xsi:type="dcterms:W3CDTF">2012-05-08T04:23:55Z</dcterms:created>
  <dcterms:modified xsi:type="dcterms:W3CDTF">2017-09-06T18:06:30Z</dcterms:modified>
</cp:coreProperties>
</file>