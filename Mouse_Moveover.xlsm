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ikhil\Desktop\"/>
    </mc:Choice>
  </mc:AlternateContent>
  <bookViews>
    <workbookView xWindow="0" yWindow="0" windowWidth="23040" windowHeight="9408" tabRatio="598"/>
  </bookViews>
  <sheets>
    <sheet name="Sheet1" sheetId="1" r:id="rId1"/>
  </sheets>
  <functionGroups builtInGroupCount="18"/>
  <definedNames>
    <definedName name="names">Sheet1!$BG$24:$BJ$24</definedName>
    <definedName name="titles">Sheet1!$C$3:$F$4</definedName>
    <definedName name="valSalOption">Sheet1!$BK$24</definedName>
    <definedName name="valSelOption">Sheet1!$G$3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  <c r="BK26" i="1"/>
  <c r="BK27" i="1"/>
  <c r="BK28" i="1"/>
  <c r="BK29" i="1"/>
  <c r="BK30" i="1"/>
  <c r="BK31" i="1"/>
  <c r="BK32" i="1"/>
  <c r="BK33" i="1"/>
  <c r="BK34" i="1"/>
  <c r="BK35" i="1"/>
  <c r="BK36" i="1"/>
  <c r="BK25" i="1"/>
  <c r="E5" i="1"/>
  <c r="E3" i="1"/>
  <c r="F5" i="1"/>
  <c r="F3" i="1"/>
  <c r="D5" i="1"/>
  <c r="D3" i="1"/>
  <c r="C5" i="1"/>
  <c r="C3" i="1"/>
</calcChain>
</file>

<file path=xl/sharedStrings.xml><?xml version="1.0" encoding="utf-8"?>
<sst xmlns="http://schemas.openxmlformats.org/spreadsheetml/2006/main" count="6" uniqueCount="5">
  <si>
    <t>Sales</t>
  </si>
  <si>
    <t>Expenses</t>
  </si>
  <si>
    <t>No. of Customers</t>
  </si>
  <si>
    <t>Month</t>
  </si>
  <si>
    <t>Profits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</si>
</sst>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Webdings"/>
      <family val="1"/>
      <charset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2" borderId="1" xfId="0" applyFont="1" applyFill="1" applyBorder="1" applyAlignment="1">
      <alignment horizontal="center"/>
    </xf>
    <xf numFmtId="17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/>
    <xf numFmtId="0" fontId="1" fillId="0" borderId="0" xfId="0" applyFont="1" applyAlignment="1"/>
    <xf numFmtId="0" fontId="1" fillId="0" borderId="4" xfId="0" applyFont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 vertical="center"/>
    </xf>
  </cellXfs>
  <cellStyles count="1">
    <cellStyle name="Normal" xfId="0" builtinId="0"/>
  </cellStyles>
  <dxfs count="2">
    <dxf>
      <fill>
        <patternFill>
          <bgColor theme="0" tint="-4.9989318521683403E-2"/>
        </patternFill>
      </fill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Sheet1!$BF$25:$BF$36</c:f>
              <c:numCache>
                <c:formatCode>mmm\-yy</c:formatCode>
                <c:ptCount val="12"/>
                <c:pt idx="0">
                  <c:v>40179</c:v>
                </c:pt>
                <c:pt idx="1">
                  <c:v>40210</c:v>
                </c:pt>
                <c:pt idx="2">
                  <c:v>40238</c:v>
                </c:pt>
                <c:pt idx="3">
                  <c:v>40269</c:v>
                </c:pt>
                <c:pt idx="4">
                  <c:v>40299</c:v>
                </c:pt>
                <c:pt idx="5">
                  <c:v>40330</c:v>
                </c:pt>
                <c:pt idx="6">
                  <c:v>40360</c:v>
                </c:pt>
                <c:pt idx="7">
                  <c:v>40391</c:v>
                </c:pt>
                <c:pt idx="8">
                  <c:v>40422</c:v>
                </c:pt>
                <c:pt idx="9">
                  <c:v>40452</c:v>
                </c:pt>
                <c:pt idx="10">
                  <c:v>40483</c:v>
                </c:pt>
                <c:pt idx="11">
                  <c:v>40513</c:v>
                </c:pt>
              </c:numCache>
            </c:numRef>
          </c:cat>
          <c:val>
            <c:numRef>
              <c:f>Sheet1!$BK$25:$BK$36</c:f>
              <c:numCache>
                <c:formatCode>General</c:formatCode>
                <c:ptCount val="12"/>
                <c:pt idx="0">
                  <c:v>47</c:v>
                </c:pt>
                <c:pt idx="1">
                  <c:v>47</c:v>
                </c:pt>
                <c:pt idx="2">
                  <c:v>37</c:v>
                </c:pt>
                <c:pt idx="3">
                  <c:v>25</c:v>
                </c:pt>
                <c:pt idx="4">
                  <c:v>27</c:v>
                </c:pt>
                <c:pt idx="5">
                  <c:v>31</c:v>
                </c:pt>
                <c:pt idx="6">
                  <c:v>50</c:v>
                </c:pt>
                <c:pt idx="7">
                  <c:v>37</c:v>
                </c:pt>
                <c:pt idx="8">
                  <c:v>26</c:v>
                </c:pt>
                <c:pt idx="9">
                  <c:v>45</c:v>
                </c:pt>
                <c:pt idx="10">
                  <c:v>31</c:v>
                </c:pt>
                <c:pt idx="11">
                  <c:v>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5874672"/>
        <c:axId val="175854544"/>
      </c:barChart>
      <c:dateAx>
        <c:axId val="175874672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854544"/>
        <c:crosses val="autoZero"/>
        <c:auto val="1"/>
        <c:lblOffset val="100"/>
        <c:baseTimeUnit val="months"/>
      </c:dateAx>
      <c:valAx>
        <c:axId val="17585454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87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15240</xdr:rowOff>
    </xdr:from>
    <xdr:to>
      <xdr:col>7</xdr:col>
      <xdr:colOff>0</xdr:colOff>
      <xdr:row>20</xdr:row>
      <xdr:rowOff>41910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BL36"/>
  <sheetViews>
    <sheetView showGridLines="0" tabSelected="1" workbookViewId="0">
      <selection activeCell="N15" sqref="N15"/>
    </sheetView>
  </sheetViews>
  <sheetFormatPr defaultRowHeight="14.4" x14ac:dyDescent="0.3"/>
  <cols>
    <col min="1" max="1" width="2.88671875" customWidth="1"/>
    <col min="2" max="2" width="4" customWidth="1"/>
    <col min="3" max="3" width="11.44140625" customWidth="1"/>
    <col min="4" max="4" width="15.77734375" customWidth="1"/>
    <col min="5" max="5" width="12.6640625" customWidth="1"/>
    <col min="6" max="6" width="18.33203125" customWidth="1"/>
    <col min="7" max="7" width="4.5546875" customWidth="1"/>
  </cols>
  <sheetData>
    <row r="3" spans="2:7" x14ac:dyDescent="0.3">
      <c r="C3" s="11" t="str">
        <f>IFERROR(HYPERLINK(highlightSeries_pp(C3)),"Sales")</f>
        <v>Sales</v>
      </c>
      <c r="D3" s="11" t="str">
        <f>IFERROR(HYPERLINK(highlightSeries_pp(D3)),"Expenses")</f>
        <v>Expenses</v>
      </c>
      <c r="E3" s="11" t="str">
        <f>IFERROR(HYPERLINK(highlightSeries_pp(E3)),"Profits")</f>
        <v>Profits</v>
      </c>
      <c r="F3" s="11" t="str">
        <f>IFERROR(HYPERLINK(highlightSeries_pp(F3)),"No. of Customers")</f>
        <v>No. of Customers</v>
      </c>
      <c r="G3" s="7"/>
    </row>
    <row r="4" spans="2:7" x14ac:dyDescent="0.3">
      <c r="C4" s="11"/>
      <c r="D4" s="11"/>
      <c r="E4" s="11"/>
      <c r="F4" s="11"/>
      <c r="G4" s="7"/>
    </row>
    <row r="5" spans="2:7" ht="13.8" customHeight="1" x14ac:dyDescent="0.3">
      <c r="C5" s="9" t="str">
        <f>IFERROR(HYPERLINK(highlightSeries_pp(C3)),"6")</f>
        <v>6</v>
      </c>
      <c r="D5" s="9" t="str">
        <f>IFERROR(HYPERLINK(highlightSeries_pp(D3)),"6")</f>
        <v>6</v>
      </c>
      <c r="E5" s="9" t="str">
        <f>IFERROR(HYPERLINK(highlightSeries_pp(E3)),"6")</f>
        <v>6</v>
      </c>
      <c r="F5" s="9" t="str">
        <f>IFERROR(HYPERLINK(highlightSeries_pp(F3)),"6")</f>
        <v>6</v>
      </c>
      <c r="G5" s="8"/>
    </row>
    <row r="6" spans="2:7" ht="3" customHeight="1" x14ac:dyDescent="0.3">
      <c r="C6" s="9"/>
      <c r="D6" s="9"/>
      <c r="E6" s="9"/>
      <c r="F6" s="9"/>
      <c r="G6" s="8"/>
    </row>
    <row r="7" spans="2:7" x14ac:dyDescent="0.3">
      <c r="B7" s="10" t="str">
        <f>valSalOption</f>
        <v>No. of Customers</v>
      </c>
      <c r="C7" s="10"/>
      <c r="D7" s="10"/>
      <c r="E7" s="10"/>
      <c r="F7" s="10"/>
      <c r="G7" s="10"/>
    </row>
    <row r="8" spans="2:7" x14ac:dyDescent="0.3">
      <c r="C8" s="7"/>
      <c r="D8" s="7"/>
      <c r="E8" s="7"/>
      <c r="F8" s="7"/>
      <c r="G8" s="7"/>
    </row>
    <row r="9" spans="2:7" x14ac:dyDescent="0.3">
      <c r="C9" s="7"/>
      <c r="D9" s="7"/>
      <c r="E9" s="7"/>
      <c r="F9" s="7"/>
      <c r="G9" s="7"/>
    </row>
    <row r="10" spans="2:7" x14ac:dyDescent="0.3">
      <c r="C10" s="7"/>
      <c r="D10" s="7"/>
      <c r="E10" s="7"/>
      <c r="F10" s="7"/>
      <c r="G10" s="7"/>
    </row>
    <row r="11" spans="2:7" x14ac:dyDescent="0.3">
      <c r="C11" s="7"/>
      <c r="D11" s="7"/>
      <c r="E11" s="7"/>
      <c r="F11" s="7"/>
      <c r="G11" s="7"/>
    </row>
    <row r="12" spans="2:7" x14ac:dyDescent="0.3">
      <c r="C12" s="7"/>
      <c r="D12" s="7"/>
      <c r="E12" s="7"/>
      <c r="F12" s="7"/>
      <c r="G12" s="7"/>
    </row>
    <row r="13" spans="2:7" x14ac:dyDescent="0.3">
      <c r="C13" s="7"/>
      <c r="D13" s="7"/>
      <c r="E13" s="7"/>
      <c r="F13" s="7"/>
      <c r="G13" s="7"/>
    </row>
    <row r="14" spans="2:7" x14ac:dyDescent="0.3">
      <c r="C14" s="7"/>
      <c r="D14" s="7"/>
      <c r="E14" s="7"/>
      <c r="F14" s="7"/>
      <c r="G14" s="7"/>
    </row>
    <row r="15" spans="2:7" x14ac:dyDescent="0.3">
      <c r="C15" s="7"/>
      <c r="D15" s="7"/>
      <c r="E15" s="7"/>
      <c r="F15" s="7"/>
      <c r="G15" s="7"/>
    </row>
    <row r="16" spans="2:7" x14ac:dyDescent="0.3">
      <c r="C16" s="7"/>
      <c r="D16" s="7"/>
      <c r="E16" s="7"/>
      <c r="F16" s="7"/>
      <c r="G16" s="7"/>
    </row>
    <row r="17" spans="3:64" x14ac:dyDescent="0.3">
      <c r="C17" s="7"/>
      <c r="D17" s="7"/>
      <c r="E17" s="7"/>
      <c r="F17" s="7"/>
      <c r="G17" s="7"/>
    </row>
    <row r="18" spans="3:64" x14ac:dyDescent="0.3">
      <c r="C18" s="7"/>
      <c r="D18" s="7"/>
      <c r="E18" s="7"/>
      <c r="F18" s="7"/>
      <c r="G18" s="7"/>
    </row>
    <row r="19" spans="3:64" x14ac:dyDescent="0.3">
      <c r="C19" s="7"/>
      <c r="D19" s="7"/>
      <c r="E19" s="7"/>
      <c r="F19" s="7"/>
      <c r="G19" s="7"/>
    </row>
    <row r="20" spans="3:64" x14ac:dyDescent="0.3">
      <c r="C20" s="7"/>
      <c r="D20" s="7"/>
      <c r="E20" s="7"/>
      <c r="F20" s="7"/>
      <c r="G20" s="7"/>
    </row>
    <row r="21" spans="3:64" x14ac:dyDescent="0.3">
      <c r="C21" s="7"/>
      <c r="D21" s="7"/>
      <c r="E21" s="7"/>
      <c r="F21" s="7"/>
      <c r="G21" s="7"/>
    </row>
    <row r="22" spans="3:64" x14ac:dyDescent="0.3">
      <c r="C22" s="7"/>
      <c r="D22" s="7"/>
      <c r="E22" s="7"/>
      <c r="F22" s="7"/>
      <c r="G22" s="7"/>
    </row>
    <row r="24" spans="3:64" x14ac:dyDescent="0.3">
      <c r="BF24" s="1" t="s">
        <v>3</v>
      </c>
      <c r="BG24" s="1" t="s">
        <v>0</v>
      </c>
      <c r="BH24" s="1" t="s">
        <v>1</v>
      </c>
      <c r="BI24" s="1" t="s">
        <v>4</v>
      </c>
      <c r="BJ24" s="1" t="s">
        <v>2</v>
      </c>
      <c r="BK24" s="4" t="s">
        <v>2</v>
      </c>
    </row>
    <row r="25" spans="3:64" x14ac:dyDescent="0.3">
      <c r="BF25" s="2">
        <v>40179</v>
      </c>
      <c r="BG25" s="3">
        <v>1134</v>
      </c>
      <c r="BH25" s="3">
        <v>790</v>
      </c>
      <c r="BI25" s="3">
        <v>344</v>
      </c>
      <c r="BJ25" s="3">
        <v>47</v>
      </c>
      <c r="BK25">
        <f>HLOOKUP(valSalOption,$BG$24:$BJ$36, BL25,0)</f>
        <v>47</v>
      </c>
      <c r="BL25" s="5">
        <v>2</v>
      </c>
    </row>
    <row r="26" spans="3:64" x14ac:dyDescent="0.3">
      <c r="BF26" s="2">
        <v>40210</v>
      </c>
      <c r="BG26" s="3">
        <v>1149</v>
      </c>
      <c r="BH26" s="3">
        <v>1475</v>
      </c>
      <c r="BI26" s="3">
        <v>-326</v>
      </c>
      <c r="BJ26" s="3">
        <v>47</v>
      </c>
      <c r="BK26">
        <f>HLOOKUP(valSalOption,$BG$24:$BJ$36, BL26,0)</f>
        <v>47</v>
      </c>
      <c r="BL26" s="5">
        <v>3</v>
      </c>
    </row>
    <row r="27" spans="3:64" x14ac:dyDescent="0.3">
      <c r="BF27" s="2">
        <v>40238</v>
      </c>
      <c r="BG27" s="3">
        <v>1504</v>
      </c>
      <c r="BH27" s="3">
        <v>583</v>
      </c>
      <c r="BI27" s="3">
        <v>921</v>
      </c>
      <c r="BJ27" s="3">
        <v>37</v>
      </c>
      <c r="BK27">
        <f>HLOOKUP(valSalOption,$BG$24:$BJ$36, BL27,0)</f>
        <v>37</v>
      </c>
      <c r="BL27" s="5">
        <v>4</v>
      </c>
    </row>
    <row r="28" spans="3:64" x14ac:dyDescent="0.3">
      <c r="BF28" s="2">
        <v>40269</v>
      </c>
      <c r="BG28" s="3">
        <v>1631</v>
      </c>
      <c r="BH28" s="3">
        <v>701</v>
      </c>
      <c r="BI28" s="3">
        <v>930</v>
      </c>
      <c r="BJ28" s="3">
        <v>25</v>
      </c>
      <c r="BK28">
        <f>HLOOKUP(valSalOption,$BG$24:$BJ$36, BL28,0)</f>
        <v>25</v>
      </c>
      <c r="BL28" s="6">
        <v>5</v>
      </c>
    </row>
    <row r="29" spans="3:64" x14ac:dyDescent="0.3">
      <c r="BF29" s="2">
        <v>40299</v>
      </c>
      <c r="BG29" s="3">
        <v>1611</v>
      </c>
      <c r="BH29" s="3">
        <v>1160</v>
      </c>
      <c r="BI29" s="3">
        <v>451</v>
      </c>
      <c r="BJ29" s="3">
        <v>27</v>
      </c>
      <c r="BK29">
        <f>HLOOKUP(valSalOption,$BG$24:$BJ$36, BL29,0)</f>
        <v>27</v>
      </c>
      <c r="BL29" s="6">
        <v>6</v>
      </c>
    </row>
    <row r="30" spans="3:64" x14ac:dyDescent="0.3">
      <c r="BF30" s="2">
        <v>40330</v>
      </c>
      <c r="BG30" s="3">
        <v>1792</v>
      </c>
      <c r="BH30" s="3">
        <v>656</v>
      </c>
      <c r="BI30" s="3">
        <v>1136</v>
      </c>
      <c r="BJ30" s="3">
        <v>31</v>
      </c>
      <c r="BK30">
        <f>HLOOKUP(valSalOption,$BG$24:$BJ$36, BL30,0)</f>
        <v>31</v>
      </c>
      <c r="BL30" s="6">
        <v>7</v>
      </c>
    </row>
    <row r="31" spans="3:64" x14ac:dyDescent="0.3">
      <c r="BF31" s="2">
        <v>40360</v>
      </c>
      <c r="BG31" s="3">
        <v>1417</v>
      </c>
      <c r="BH31" s="3">
        <v>643</v>
      </c>
      <c r="BI31" s="3">
        <v>774</v>
      </c>
      <c r="BJ31" s="3">
        <v>50</v>
      </c>
      <c r="BK31">
        <f>HLOOKUP(valSalOption,$BG$24:$BJ$36, BL31,0)</f>
        <v>50</v>
      </c>
      <c r="BL31" s="6">
        <v>8</v>
      </c>
    </row>
    <row r="32" spans="3:64" x14ac:dyDescent="0.3">
      <c r="BF32" s="2">
        <v>40391</v>
      </c>
      <c r="BG32" s="3">
        <v>1027</v>
      </c>
      <c r="BH32" s="3">
        <v>1325</v>
      </c>
      <c r="BI32" s="3">
        <v>-298</v>
      </c>
      <c r="BJ32" s="3">
        <v>37</v>
      </c>
      <c r="BK32">
        <f>HLOOKUP(valSalOption,$BG$24:$BJ$36, BL32,0)</f>
        <v>37</v>
      </c>
      <c r="BL32" s="6">
        <v>9</v>
      </c>
    </row>
    <row r="33" spans="58:64" x14ac:dyDescent="0.3">
      <c r="BF33" s="2">
        <v>40422</v>
      </c>
      <c r="BG33" s="3">
        <v>1312</v>
      </c>
      <c r="BH33" s="3">
        <v>1293</v>
      </c>
      <c r="BI33" s="3">
        <v>19</v>
      </c>
      <c r="BJ33" s="3">
        <v>26</v>
      </c>
      <c r="BK33">
        <f>HLOOKUP(valSalOption,$BG$24:$BJ$36, BL33,0)</f>
        <v>26</v>
      </c>
      <c r="BL33" s="6">
        <v>10</v>
      </c>
    </row>
    <row r="34" spans="58:64" x14ac:dyDescent="0.3">
      <c r="BF34" s="2">
        <v>40452</v>
      </c>
      <c r="BG34" s="3">
        <v>1338</v>
      </c>
      <c r="BH34" s="3">
        <v>821</v>
      </c>
      <c r="BI34" s="3">
        <v>517</v>
      </c>
      <c r="BJ34" s="3">
        <v>45</v>
      </c>
      <c r="BK34">
        <f>HLOOKUP(valSalOption,$BG$24:$BJ$36, BL34,0)</f>
        <v>45</v>
      </c>
      <c r="BL34" s="6">
        <v>11</v>
      </c>
    </row>
    <row r="35" spans="58:64" x14ac:dyDescent="0.3">
      <c r="BF35" s="2">
        <v>40483</v>
      </c>
      <c r="BG35" s="3">
        <v>1534</v>
      </c>
      <c r="BH35" s="3">
        <v>557</v>
      </c>
      <c r="BI35" s="3">
        <v>977</v>
      </c>
      <c r="BJ35" s="3">
        <v>31</v>
      </c>
      <c r="BK35">
        <f>HLOOKUP(valSalOption,$BG$24:$BJ$36, BL35,0)</f>
        <v>31</v>
      </c>
      <c r="BL35" s="6">
        <v>12</v>
      </c>
    </row>
    <row r="36" spans="58:64" x14ac:dyDescent="0.3">
      <c r="BF36" s="2">
        <v>40513</v>
      </c>
      <c r="BG36" s="3">
        <v>1343</v>
      </c>
      <c r="BH36" s="3">
        <v>1349</v>
      </c>
      <c r="BI36" s="3">
        <v>-6</v>
      </c>
      <c r="BJ36" s="3">
        <v>37</v>
      </c>
      <c r="BK36">
        <f>HLOOKUP(valSalOption,$BG$24:$BJ$36, BL36,0)</f>
        <v>37</v>
      </c>
      <c r="BL36" s="6">
        <v>13</v>
      </c>
    </row>
  </sheetData>
  <mergeCells count="9">
    <mergeCell ref="C3:C4"/>
    <mergeCell ref="D3:D4"/>
    <mergeCell ref="E3:E4"/>
    <mergeCell ref="F3:F4"/>
    <mergeCell ref="B7:G7"/>
    <mergeCell ref="C5:C6"/>
    <mergeCell ref="D5:D6"/>
    <mergeCell ref="E5:E6"/>
    <mergeCell ref="F5:F6"/>
  </mergeCells>
  <conditionalFormatting sqref="C3:F4">
    <cfRule type="expression" dxfId="1" priority="2">
      <formula>C3=valSalOption</formula>
    </cfRule>
    <cfRule type="expression" dxfId="0" priority="1">
      <formula>C3=valSalOption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Sheet1</vt:lpstr>
      <vt:lpstr>names</vt:lpstr>
      <vt:lpstr>titles</vt:lpstr>
      <vt:lpstr>valSalOption</vt:lpstr>
      <vt:lpstr>valSelOption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Nikhil</dc:creator>
  <cp:lastModifiedBy>Nikhil</cp:lastModifiedBy>
  <dcterms:created xsi:type="dcterms:W3CDTF">2017-09-05T09:29:24Z</dcterms:created>
  <dcterms:modified xsi:type="dcterms:W3CDTF">2017-09-06T18:37:38Z</dcterms:modified>
</cp:coreProperties>
</file>